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Критерии" sheetId="2" state="visible" r:id="rId4"/>
    <sheet name="Данные" sheetId="3" state="visible" r:id="rId5"/>
    <sheet name="Приоритеты" sheetId="4" state="visible" r:id="rId6"/>
    <sheet name="Пример_ИБП_k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СППР</author>
  </authors>
  <commentList>
    <comment ref="B15" authorId="0">
      <text>
        <r>
          <rPr>
            <sz val="10"/>
            <rFont val="Arial"/>
            <family val="2"/>
          </rPr>
          <t xml:space="preserve">Случайный индекс Саати: n=3 0,58; 4 0,90; 5 1,12; 6 1,24; 7 1,32</t>
        </r>
      </text>
    </comment>
    <comment ref="C4" authorId="0">
      <text>
        <r>
          <rPr>
            <sz val="10"/>
            <rFont val="Arial"/>
            <family val="2"/>
          </rPr>
          <t xml:space="preserve">Суждение ЛПР: во сколько раз k1 важнее k2</t>
        </r>
      </text>
    </comment>
    <comment ref="D4" authorId="0">
      <text>
        <r>
          <rPr>
            <sz val="10"/>
            <rFont val="Arial"/>
            <family val="2"/>
          </rPr>
          <t xml:space="preserve">Суждение ЛПР: во сколько раз k1 важнее k3</t>
        </r>
      </text>
    </comment>
    <comment ref="D5" authorId="0">
      <text>
        <r>
          <rPr>
            <sz val="10"/>
            <rFont val="Arial"/>
            <family val="2"/>
          </rPr>
          <t xml:space="preserve">Суждение ЛПР: во сколько раз k2 важнее k3</t>
        </r>
      </text>
    </comment>
    <comment ref="E4" authorId="0">
      <text>
        <r>
          <rPr>
            <sz val="10"/>
            <rFont val="Arial"/>
            <family val="2"/>
          </rPr>
          <t xml:space="preserve">Суждение ЛПР: во сколько раз k1 важнее k4</t>
        </r>
      </text>
    </comment>
    <comment ref="E5" authorId="0">
      <text>
        <r>
          <rPr>
            <sz val="10"/>
            <rFont val="Arial"/>
            <family val="2"/>
          </rPr>
          <t xml:space="preserve">Суждение ЛПР: во сколько раз k2 важнее k4</t>
        </r>
      </text>
    </comment>
    <comment ref="E6" authorId="0">
      <text>
        <r>
          <rPr>
            <sz val="10"/>
            <rFont val="Arial"/>
            <family val="2"/>
          </rPr>
          <t xml:space="preserve">Суждение ЛПР: во сколько раз k3 важнее k4</t>
        </r>
      </text>
    </comment>
    <comment ref="F4" authorId="0">
      <text>
        <r>
          <rPr>
            <sz val="10"/>
            <rFont val="Arial"/>
            <family val="2"/>
          </rPr>
          <t xml:space="preserve">Суждение ЛПР: во сколько раз k1 важнее k5</t>
        </r>
      </text>
    </comment>
    <comment ref="F5" authorId="0">
      <text>
        <r>
          <rPr>
            <sz val="10"/>
            <rFont val="Arial"/>
            <family val="2"/>
          </rPr>
          <t xml:space="preserve">Суждение ЛПР: во сколько раз k2 важнее k5</t>
        </r>
      </text>
    </comment>
    <comment ref="F6" authorId="0">
      <text>
        <r>
          <rPr>
            <sz val="10"/>
            <rFont val="Arial"/>
            <family val="2"/>
          </rPr>
          <t xml:space="preserve">Суждение ЛПР: во сколько раз k3 важнее k5</t>
        </r>
      </text>
    </comment>
    <comment ref="F7" authorId="0">
      <text>
        <r>
          <rPr>
            <sz val="10"/>
            <rFont val="Arial"/>
            <family val="2"/>
          </rPr>
          <t xml:space="preserve">Суждение ЛПР: во сколько раз k4 важнее k5</t>
        </r>
      </text>
    </comment>
    <comment ref="G4" authorId="0">
      <text>
        <r>
          <rPr>
            <sz val="10"/>
            <rFont val="Arial"/>
            <family val="2"/>
          </rPr>
          <t xml:space="preserve">Суждение ЛПР: во сколько раз k1 важнее k6</t>
        </r>
      </text>
    </comment>
    <comment ref="G5" authorId="0">
      <text>
        <r>
          <rPr>
            <sz val="10"/>
            <rFont val="Arial"/>
            <family val="2"/>
          </rPr>
          <t xml:space="preserve">Суждение ЛПР: во сколько раз k2 важнее k6</t>
        </r>
      </text>
    </comment>
    <comment ref="G6" authorId="0">
      <text>
        <r>
          <rPr>
            <sz val="10"/>
            <rFont val="Arial"/>
            <family val="2"/>
          </rPr>
          <t xml:space="preserve">Суждение ЛПР: во сколько раз k3 важнее k6</t>
        </r>
      </text>
    </comment>
    <comment ref="G7" authorId="0">
      <text>
        <r>
          <rPr>
            <sz val="10"/>
            <rFont val="Arial"/>
            <family val="2"/>
          </rPr>
          <t xml:space="preserve">Суждение ЛПР: во сколько раз k4 важнее k6</t>
        </r>
      </text>
    </comment>
    <comment ref="G8" authorId="0">
      <text>
        <r>
          <rPr>
            <sz val="10"/>
            <rFont val="Arial"/>
            <family val="2"/>
          </rPr>
          <t xml:space="preserve">Суждение ЛПР: во сколько раз k5 важнее k6</t>
        </r>
      </text>
    </comment>
    <comment ref="H4" authorId="0">
      <text>
        <r>
          <rPr>
            <sz val="10"/>
            <rFont val="Arial"/>
            <family val="2"/>
          </rPr>
          <t xml:space="preserve">Суждение ЛПР: во сколько раз k1 важнее k7</t>
        </r>
      </text>
    </comment>
    <comment ref="H5" authorId="0">
      <text>
        <r>
          <rPr>
            <sz val="10"/>
            <rFont val="Arial"/>
            <family val="2"/>
          </rPr>
          <t xml:space="preserve">Суждение ЛПР: во сколько раз k2 важнее k7</t>
        </r>
      </text>
    </comment>
    <comment ref="H6" authorId="0">
      <text>
        <r>
          <rPr>
            <sz val="10"/>
            <rFont val="Arial"/>
            <family val="2"/>
          </rPr>
          <t xml:space="preserve">Суждение ЛПР: во сколько раз k3 важнее k7</t>
        </r>
      </text>
    </comment>
    <comment ref="H7" authorId="0">
      <text>
        <r>
          <rPr>
            <sz val="10"/>
            <rFont val="Arial"/>
            <family val="2"/>
          </rPr>
          <t xml:space="preserve">Суждение ЛПР: во сколько раз k4 важнее k7</t>
        </r>
      </text>
    </comment>
    <comment ref="H8" authorId="0">
      <text>
        <r>
          <rPr>
            <sz val="10"/>
            <rFont val="Arial"/>
            <family val="2"/>
          </rPr>
          <t xml:space="preserve">Суждение ЛПР: во сколько раз k5 важнее k7</t>
        </r>
      </text>
    </comment>
    <comment ref="H9" authorId="0">
      <text>
        <r>
          <rPr>
            <sz val="10"/>
            <rFont val="Arial"/>
            <family val="2"/>
          </rPr>
          <t xml:space="preserve">Суждение ЛПР: во сколько раз k6 важнее k7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СППР</author>
  </authors>
  <commentList>
    <comment ref="E4" authorId="0">
      <text>
        <r>
          <rPr>
            <sz val="10"/>
            <rFont val="Arial"/>
            <family val="2"/>
          </rPr>
          <t xml:space="preserve">корпоративный класс, on-line, 2,7 кВт, сетевой интерфейс Web/SNMP, сменная АКБ</t>
        </r>
      </text>
    </comment>
    <comment ref="E5" authorId="0">
      <text>
        <r>
          <rPr>
            <sz val="10"/>
            <rFont val="Arial"/>
            <family val="2"/>
          </rPr>
          <t xml:space="preserve">корпоративный класс, on-line, наибольшая активная мощность 3,0 кВт</t>
        </r>
      </text>
    </comment>
    <comment ref="E6" authorId="0">
      <text>
        <r>
          <rPr>
            <sz val="10"/>
            <rFont val="Arial"/>
            <family val="2"/>
          </rPr>
          <t xml:space="preserve">бизнес-класс, on-line, активная мощность ниже аналогов (2,4 кВт), внешние АКБ</t>
        </r>
      </text>
    </comment>
    <comment ref="E7" authorId="0">
      <text>
        <r>
          <rPr>
            <sz val="10"/>
            <rFont val="Arial"/>
            <family val="2"/>
          </rPr>
          <t xml:space="preserve">бизнес-класс, on-line, 2,7 кВт, встроенные АКБ</t>
        </r>
      </text>
    </comment>
    <comment ref="E8" authorId="0">
      <text>
        <r>
          <rPr>
            <sz val="10"/>
            <rFont val="Arial"/>
            <family val="2"/>
          </rPr>
          <t xml:space="preserve">электронный стоечный АВР 1U, переключение 6-10 мс, без сетевого мониторинга</t>
        </r>
      </text>
    </comment>
    <comment ref="E9" authorId="0">
      <text>
        <r>
          <rPr>
            <sz val="10"/>
            <rFont val="Arial"/>
            <family val="2"/>
          </rPr>
          <t xml:space="preserve">контакторный, переключение 45-55 мс - медленно для ИТ-нагрузки без ИБП</t>
        </r>
      </text>
    </comment>
    <comment ref="E10" authorId="0">
      <text>
        <r>
          <rPr>
            <sz val="10"/>
            <rFont val="Arial"/>
            <family val="2"/>
          </rPr>
          <t xml:space="preserve">щитовой АВР 63 А, переключение до 3,5 с - иной класс, для питания стойки избыточен</t>
        </r>
      </text>
    </comment>
    <comment ref="E11" authorId="0">
      <text>
        <r>
          <rPr>
            <sz val="10"/>
            <rFont val="Arial"/>
            <family val="2"/>
          </rPr>
          <t xml:space="preserve">настольный 4-портовый DisplayPort, 4K, USB 3.0</t>
        </r>
      </text>
    </comment>
    <comment ref="E12" authorId="0">
      <text>
        <r>
          <rPr>
            <sz val="10"/>
            <rFont val="Arial"/>
            <family val="2"/>
          </rPr>
          <t xml:space="preserve">настольный 4-портовый DisplayPort, эмуляция USB True Emulation, USB 2.0</t>
        </r>
      </text>
    </comment>
    <comment ref="E13" authorId="0">
      <text>
        <r>
          <rPr>
            <sz val="10"/>
            <rFont val="Arial"/>
            <family val="2"/>
          </rPr>
          <t xml:space="preserve">корпоративный класс, L2 + базовый L3, 4×10G SFP+</t>
        </r>
      </text>
    </comment>
    <comment ref="E14" authorId="0">
      <text>
        <r>
          <rPr>
            <sz val="10"/>
            <rFont val="Arial"/>
            <family val="2"/>
          </rPr>
          <t xml:space="preserve">бизнес-класс, только L2, 4×10G SFP+</t>
        </r>
      </text>
    </comment>
    <comment ref="E15" authorId="0">
      <text>
        <r>
          <rPr>
            <sz val="10"/>
            <rFont val="Arial"/>
            <family val="2"/>
          </rPr>
          <t xml:space="preserve">полноценный L3, стек до 8 устройств, 4×10G SFP+</t>
        </r>
      </text>
    </comment>
    <comment ref="E16" authorId="0">
      <text>
        <r>
          <rPr>
            <sz val="10"/>
            <rFont val="Arial"/>
            <family val="2"/>
          </rPr>
          <t xml:space="preserve">SMB-класс, только 2×10G SFP+ вместо 4</t>
        </r>
      </text>
    </comment>
    <comment ref="E17" authorId="0">
      <text>
        <r>
          <rPr>
            <sz val="10"/>
            <rFont val="Arial"/>
            <family val="2"/>
          </rPr>
          <t xml:space="preserve">сервер текущего поколения (Xeon E-2400, DDR5), ПК бизнес-класса</t>
        </r>
      </text>
    </comment>
    <comment ref="E18" authorId="0">
      <text>
        <r>
          <rPr>
            <sz val="10"/>
            <rFont val="Arial"/>
            <family val="2"/>
          </rPr>
          <t xml:space="preserve">ПК новее (Core i5-14500), сервер на поколение старше (Xeon E-2200, DDR4)</t>
        </r>
      </text>
    </comment>
    <comment ref="F4" authorId="0">
      <text>
        <r>
          <rPr>
            <sz val="10"/>
            <rFont val="Arial"/>
            <family val="2"/>
          </rPr>
          <t xml:space="preserve">срок 1 нед., неофициальный канал</t>
        </r>
      </text>
    </comment>
    <comment ref="F5" authorId="0">
      <text>
        <r>
          <rPr>
            <sz val="10"/>
            <rFont val="Arial"/>
            <family val="2"/>
          </rPr>
          <t xml:space="preserve">товар фактически недоступен у продавцов</t>
        </r>
      </text>
    </comment>
    <comment ref="F6" authorId="0">
      <text>
        <r>
          <rPr>
            <sz val="10"/>
            <rFont val="Arial"/>
            <family val="2"/>
          </rPr>
          <t xml:space="preserve">срок 1 нед., официальный/российский канал</t>
        </r>
      </text>
    </comment>
    <comment ref="F7" authorId="0">
      <text>
        <r>
          <rPr>
            <sz val="10"/>
            <rFont val="Arial"/>
            <family val="2"/>
          </rPr>
          <t xml:space="preserve">срок 1 нед., официальный/российский канал</t>
        </r>
      </text>
    </comment>
    <comment ref="F8" authorId="0">
      <text>
        <r>
          <rPr>
            <sz val="10"/>
            <rFont val="Arial"/>
            <family val="2"/>
          </rPr>
          <t xml:space="preserve">срок 3 нед., официальный/российский канал</t>
        </r>
      </text>
    </comment>
    <comment ref="F9" authorId="0">
      <text>
        <r>
          <rPr>
            <sz val="10"/>
            <rFont val="Arial"/>
            <family val="2"/>
          </rPr>
          <t xml:space="preserve">срок 1 нед., официальный/российский канал</t>
        </r>
      </text>
    </comment>
    <comment ref="F10" authorId="0">
      <text>
        <r>
          <rPr>
            <sz val="10"/>
            <rFont val="Arial"/>
            <family val="2"/>
          </rPr>
          <t xml:space="preserve">срок 2 нед., официальный/российский канал</t>
        </r>
      </text>
    </comment>
    <comment ref="F11" authorId="0">
      <text>
        <r>
          <rPr>
            <sz val="10"/>
            <rFont val="Arial"/>
            <family val="2"/>
          </rPr>
          <t xml:space="preserve">срок 3 нед., официальный/российский канал</t>
        </r>
      </text>
    </comment>
    <comment ref="F12" authorId="0">
      <text>
        <r>
          <rPr>
            <sz val="10"/>
            <rFont val="Arial"/>
            <family val="2"/>
          </rPr>
          <t xml:space="preserve">срок 6 нед., неофициальный канал</t>
        </r>
      </text>
    </comment>
    <comment ref="F13" authorId="0">
      <text>
        <r>
          <rPr>
            <sz val="10"/>
            <rFont val="Arial"/>
            <family val="2"/>
          </rPr>
          <t xml:space="preserve">срок 1 нед., неофициальный канал</t>
        </r>
      </text>
    </comment>
    <comment ref="F14" authorId="0">
      <text>
        <r>
          <rPr>
            <sz val="10"/>
            <rFont val="Arial"/>
            <family val="2"/>
          </rPr>
          <t xml:space="preserve">срок 1 нед., неофициальный канал</t>
        </r>
      </text>
    </comment>
    <comment ref="F15" authorId="0">
      <text>
        <r>
          <rPr>
            <sz val="10"/>
            <rFont val="Arial"/>
            <family val="2"/>
          </rPr>
          <t xml:space="preserve">срок 3 нед., официальный/российский канал</t>
        </r>
      </text>
    </comment>
    <comment ref="F16" authorId="0">
      <text>
        <r>
          <rPr>
            <sz val="10"/>
            <rFont val="Arial"/>
            <family val="2"/>
          </rPr>
          <t xml:space="preserve">срок 12 нед., неофициальный канал</t>
        </r>
      </text>
    </comment>
    <comment ref="F17" authorId="0">
      <text>
        <r>
          <rPr>
            <sz val="10"/>
            <rFont val="Arial"/>
            <family val="2"/>
          </rPr>
          <t xml:space="preserve">срок 8 нед., неофициальный канал</t>
        </r>
      </text>
    </comment>
    <comment ref="F18" authorId="0">
      <text>
        <r>
          <rPr>
            <sz val="10"/>
            <rFont val="Arial"/>
            <family val="2"/>
          </rPr>
          <t xml:space="preserve">срок 12 нед., неофициальный канал</t>
        </r>
      </text>
    </comment>
    <comment ref="G4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5" authorId="0">
      <text>
        <r>
          <rPr>
            <sz val="10"/>
            <rFont val="Arial"/>
            <family val="2"/>
          </rPr>
          <t xml:space="preserve">товар фактически недоступен - верхняя граница срока</t>
        </r>
      </text>
    </comment>
    <comment ref="G6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7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8" authorId="0">
      <text>
        <r>
          <rPr>
            <sz val="10"/>
            <rFont val="Arial"/>
            <family val="2"/>
          </rPr>
          <t xml:space="preserve">модельное значение для канала «russian_manufacturer»</t>
        </r>
      </text>
    </comment>
    <comment ref="G9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10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11" authorId="0">
      <text>
        <r>
          <rPr>
            <sz val="10"/>
            <rFont val="Arial"/>
            <family val="2"/>
          </rPr>
          <t xml:space="preserve">модельное значение для канала «official_distributor»</t>
        </r>
      </text>
    </comment>
    <comment ref="G12" authorId="0">
      <text>
        <r>
          <rPr>
            <sz val="10"/>
            <rFont val="Arial"/>
            <family val="2"/>
          </rPr>
          <t xml:space="preserve">модельное значение для канала «unknown»</t>
        </r>
      </text>
    </comment>
    <comment ref="G13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14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15" authorId="0">
      <text>
        <r>
          <rPr>
            <sz val="10"/>
            <rFont val="Arial"/>
            <family val="2"/>
          </rPr>
          <t xml:space="preserve">модельное значение для канала «russian_manufacturer»</t>
        </r>
      </text>
    </comment>
    <comment ref="G16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G17" authorId="0">
      <text>
        <r>
          <rPr>
            <sz val="10"/>
            <rFont val="Arial"/>
            <family val="2"/>
          </rPr>
          <t xml:space="preserve">модельное значение для канала «left_ru_parallel_import»</t>
        </r>
      </text>
    </comment>
    <comment ref="G18" authorId="0">
      <text>
        <r>
          <rPr>
            <sz val="10"/>
            <rFont val="Arial"/>
            <family val="2"/>
          </rPr>
          <t xml:space="preserve">модельное значение для канала «left_ru_excluded_from_parallel_import»</t>
        </r>
      </text>
    </comment>
    <comment ref="H4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5" authorId="0">
      <text>
        <r>
          <rPr>
            <sz val="10"/>
            <rFont val="Arial"/>
            <family val="2"/>
          </rPr>
          <t xml:space="preserve">указано вендором</t>
        </r>
      </text>
    </comment>
    <comment ref="H6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7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8" authorId="0">
      <text>
        <r>
          <rPr>
            <sz val="10"/>
            <rFont val="Arial"/>
            <family val="2"/>
          </rPr>
          <t xml:space="preserve">указано вендором</t>
        </r>
      </text>
    </comment>
    <comment ref="H9" authorId="0">
      <text>
        <r>
          <rPr>
            <sz val="10"/>
            <rFont val="Arial"/>
            <family val="2"/>
          </rPr>
          <t xml:space="preserve">указано вендором</t>
        </r>
      </text>
    </comment>
    <comment ref="H10" authorId="0">
      <text>
        <r>
          <rPr>
            <sz val="10"/>
            <rFont val="Arial"/>
            <family val="2"/>
          </rPr>
          <t xml:space="preserve">модельное значение (типовая гарантия продавца)</t>
        </r>
      </text>
    </comment>
    <comment ref="H11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12" authorId="0">
      <text>
        <r>
          <rPr>
            <sz val="10"/>
            <rFont val="Arial"/>
            <family val="2"/>
          </rPr>
          <t xml:space="preserve">модельное значение (типовая гарантия продавца)</t>
        </r>
      </text>
    </comment>
    <comment ref="H13" authorId="0">
      <text>
        <r>
          <rPr>
            <sz val="10"/>
            <rFont val="Arial"/>
            <family val="2"/>
          </rPr>
          <t xml:space="preserve">модельное значение (типовая гарантия продавца)</t>
        </r>
      </text>
    </comment>
    <comment ref="H14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15" authorId="0">
      <text>
        <r>
          <rPr>
            <sz val="10"/>
            <rFont val="Arial"/>
            <family val="2"/>
          </rPr>
          <t xml:space="preserve">модельное значение (типовая гарантия продавца)</t>
        </r>
      </text>
    </comment>
    <comment ref="H16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17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H18" authorId="0">
      <text>
        <r>
          <rPr>
            <sz val="10"/>
            <rFont val="Arial"/>
            <family val="2"/>
          </rPr>
          <t xml:space="preserve">указано продавцом</t>
        </r>
      </text>
    </comment>
    <comment ref="I4" authorId="0">
      <text>
        <r>
          <rPr>
            <sz val="10"/>
            <rFont val="Arial"/>
            <family val="2"/>
          </rPr>
          <t xml:space="preserve">вендор ушёл из РФ, поставки через параллельный импорт</t>
        </r>
      </text>
    </comment>
    <comment ref="I5" authorId="0">
      <text>
        <r>
          <rPr>
            <sz val="10"/>
            <rFont val="Arial"/>
            <family val="2"/>
          </rPr>
          <t xml:space="preserve">статус в РФ не подтверждён</t>
        </r>
      </text>
    </comment>
    <comment ref="I6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7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8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9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10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11" authorId="0">
      <text>
        <r>
          <rPr>
            <sz val="10"/>
            <rFont val="Arial"/>
            <family val="2"/>
          </rPr>
          <t xml:space="preserve">иностранный вендор с официальным дистрибьютором в РФ</t>
        </r>
      </text>
    </comment>
    <comment ref="I12" authorId="0">
      <text>
        <r>
          <rPr>
            <sz val="10"/>
            <rFont val="Arial"/>
            <family val="2"/>
          </rPr>
          <t xml:space="preserve">статус в РФ не подтверждён</t>
        </r>
      </text>
    </comment>
    <comment ref="I13" authorId="0">
      <text>
        <r>
          <rPr>
            <sz val="10"/>
            <rFont val="Arial"/>
            <family val="2"/>
          </rPr>
          <t xml:space="preserve">вендор ушёл из РФ, поставки через параллельный импорт</t>
        </r>
      </text>
    </comment>
    <comment ref="I14" authorId="0">
      <text>
        <r>
          <rPr>
            <sz val="10"/>
            <rFont val="Arial"/>
            <family val="2"/>
          </rPr>
          <t xml:space="preserve">вендор ушёл из РФ, поставки через параллельный импорт</t>
        </r>
      </text>
    </comment>
    <comment ref="I15" authorId="0">
      <text>
        <r>
          <rPr>
            <sz val="10"/>
            <rFont val="Arial"/>
            <family val="2"/>
          </rPr>
          <t xml:space="preserve">российский производитель</t>
        </r>
      </text>
    </comment>
    <comment ref="I16" authorId="0">
      <text>
        <r>
          <rPr>
            <sz val="10"/>
            <rFont val="Arial"/>
            <family val="2"/>
          </rPr>
          <t xml:space="preserve">статус в РФ не подтверждён</t>
        </r>
      </text>
    </comment>
    <comment ref="I17" authorId="0">
      <text>
        <r>
          <rPr>
            <sz val="10"/>
            <rFont val="Arial"/>
            <family val="2"/>
          </rPr>
          <t xml:space="preserve">вендор ушёл из РФ, поставки через параллельный импорт</t>
        </r>
      </text>
    </comment>
    <comment ref="I18" authorId="0">
      <text>
        <r>
          <rPr>
            <sz val="10"/>
            <rFont val="Arial"/>
            <family val="2"/>
          </rPr>
          <t xml:space="preserve">вендор ушёл из РФ, продукция исключена из перечня параллельного импорта</t>
        </r>
      </text>
    </comment>
    <comment ref="J4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5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6" authorId="0">
      <text>
        <r>
          <rPr>
            <sz val="10"/>
            <rFont val="Arial"/>
            <family val="2"/>
          </rPr>
          <t xml:space="preserve">российский бренд, производство за рубежом</t>
        </r>
      </text>
    </comment>
    <comment ref="J7" authorId="0">
      <text>
        <r>
          <rPr>
            <sz val="10"/>
            <rFont val="Arial"/>
            <family val="2"/>
          </rPr>
          <t xml:space="preserve">российский производитель, производство в РФ</t>
        </r>
      </text>
    </comment>
    <comment ref="J8" authorId="0">
      <text>
        <r>
          <rPr>
            <sz val="10"/>
            <rFont val="Arial"/>
            <family val="2"/>
          </rPr>
          <t xml:space="preserve">российский производитель, производство в РФ</t>
        </r>
      </text>
    </comment>
    <comment ref="J9" authorId="0">
      <text>
        <r>
          <rPr>
            <sz val="10"/>
            <rFont val="Arial"/>
            <family val="2"/>
          </rPr>
          <t xml:space="preserve">российский производитель, производство в РФ</t>
        </r>
      </text>
    </comment>
    <comment ref="J10" authorId="0">
      <text>
        <r>
          <rPr>
            <sz val="10"/>
            <rFont val="Arial"/>
            <family val="2"/>
          </rPr>
          <t xml:space="preserve">российский производитель, производство в РФ</t>
        </r>
      </text>
    </comment>
    <comment ref="J11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2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3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4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5" authorId="0">
      <text>
        <r>
          <rPr>
            <sz val="10"/>
            <rFont val="Arial"/>
            <family val="2"/>
          </rPr>
          <t xml:space="preserve">российский производитель, производство в РФ</t>
        </r>
      </text>
    </comment>
    <comment ref="J16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7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  <comment ref="J18" authorId="0">
      <text>
        <r>
          <rPr>
            <sz val="10"/>
            <rFont val="Arial"/>
            <family val="2"/>
          </rPr>
          <t xml:space="preserve">иностранный вендор</t>
        </r>
      </text>
    </comment>
  </commentList>
</comments>
</file>

<file path=xl/sharedStrings.xml><?xml version="1.0" encoding="utf-8"?>
<sst xmlns="http://schemas.openxmlformats.org/spreadsheetml/2006/main" count="207" uniqueCount="144">
  <si>
    <t xml:space="preserve">АНР-модель выбора поставщиков оборудования для диспетчерских комплексов (практика № 2)</t>
  </si>
  <si>
    <t xml:space="preserve">АНР - метод анализа иерархий: критерии сравниваются попарно по шкале Саати 1-9, из матрицы получаются веса.</t>
  </si>
  <si>
    <t xml:space="preserve">Обозначения цветом:</t>
  </si>
  <si>
    <t xml:space="preserve">  жёлтая ячейка, синий текст - суждение ЛПР (можно менять, лист «Критерии», верхний треугольник матрицы);</t>
  </si>
  <si>
    <t xml:space="preserve">  синий текст - исходные данные (цены, сроки, оценки 1-5) и значения, рассчитанные в Python;</t>
  </si>
  <si>
    <t xml:space="preserve">  зелёный текст - ссылка на другой лист; чёрный текст - формула.</t>
  </si>
  <si>
    <t xml:space="preserve">Шкала Саати: 1 - равная важность, 3 - умеренное превосходство, 5 - существенное, 7 - значительное, 9 - абсолютное; 2, 4, 6, 8 - промежуточные; обратные дроби - если важнее второй критерий.</t>
  </si>
  <si>
    <t xml:space="preserve">ИС - индекс согласованности, СИ - случайный индекс Саати, ОС - отношение согласованности = ИС / СИ; суждения согласованы при ОС ≤ 0,10.</t>
  </si>
  <si>
    <t xml:space="preserve">Локальные приоритеты альтернатив рассчитаны в Python (scripts/p2_ahp.py) по матрицам парных сравнений альтернатив; пример такой матрицы на формулах - лист «Пример_ИБП_k1».</t>
  </si>
  <si>
    <t xml:space="preserve">Оценки 1-5 (качество, надёжность, санкционный риск, происхождение) - экспертные оценки аналитика по правилам из открытых сведений (sppr/ratings.py, config/quality_ratings.json).</t>
  </si>
  <si>
    <t xml:space="preserve">Пример изменения: если директор считает стоимость в 3 раза важнее качества, введите 3 в ячейку «k1 / k2» - веса, ОС и ранги пересчитаются.</t>
  </si>
  <si>
    <t xml:space="preserve">Матрица парных сравнений критериев (шкала Саати 1-9)</t>
  </si>
  <si>
    <t xml:space="preserve">Жёлтые ячейки - суждения ЛПР; нижний треугольник = 1 / верхний.</t>
  </si>
  <si>
    <t xml:space="preserve">Критерий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</si>
  <si>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</si>
  <si>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</si>
  <si>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</si>
  <si>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</si>
  <si>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</si>
  <si>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</si>
  <si>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</si>
  <si>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Среднее геометрическое строки</t>
  </si>
  <si>
    <t xml:space="preserve">Вес w</t>
  </si>
  <si>
    <t xml:space="preserve">(A·w)</t>
  </si>
  <si>
    <t xml:space="preserve">(A·w) / w</t>
  </si>
  <si>
    <t xml:space="preserve">Вес (Python, собств. вектор)</t>
  </si>
  <si>
    <t xml:space="preserve">k1 Стоимость закупки</t>
  </si>
  <si>
    <t xml:space="preserve">k2 Качество и технический уровень</t>
  </si>
  <si>
    <t xml:space="preserve">k3 Надёжность поставщика</t>
  </si>
  <si>
    <t xml:space="preserve">k4 Срок поставки</t>
  </si>
  <si>
    <t xml:space="preserve">k5 Гарантия и сервис в РФ</t>
  </si>
  <si>
    <t xml:space="preserve">k6 Санкционный риск канала</t>
  </si>
  <si>
    <t xml:space="preserve">k7 Российское происхождение</t>
  </si>
  <si>
    <t xml:space="preserve">n (число критериев)</t>
  </si>
  <si>
    <t xml:space="preserve">λmax = среднее (A·w)/w</t>
  </si>
  <si>
    <t xml:space="preserve">ИС = (λmax - n) / (n - 1)</t>
  </si>
  <si>
    <t xml:space="preserve">СИ (случайный индекс Саати для n = 7)</t>
  </si>
  <si>
    <t xml:space="preserve">ОС = ИС / СИ</t>
  </si>
  <si>
    <t xml:space="preserve">Вывод</t>
  </si>
  <si>
    <t xml:space="preserve">Исходные данные по альтернативам (открытые источники; оценки 1-5 - экспертные оценки аналитика)</t>
  </si>
  <si>
    <t xml:space="preserve">Категория</t>
  </si>
  <si>
    <t xml:space="preserve">Поставщик</t>
  </si>
  <si>
    <t xml:space="preserve">Модель</t>
  </si>
  <si>
    <t xml:space="preserve">k1 Цена, ₽</t>
  </si>
  <si>
    <t xml:space="preserve">k2 Качество, 1-5</t>
  </si>
  <si>
    <t xml:space="preserve">k3 Надёжность, 1-5</t>
  </si>
  <si>
    <t xml:space="preserve">k4 Срок, нед.</t>
  </si>
  <si>
    <t xml:space="preserve">k5 Гарантия, мес.</t>
  </si>
  <si>
    <t xml:space="preserve">k6 Санкц. риск, 1-5</t>
  </si>
  <si>
    <t xml:space="preserve">k7 Происхождение, 1-5</t>
  </si>
  <si>
    <t xml:space="preserve">Статус цены</t>
  </si>
  <si>
    <t xml:space="preserve">Источник цены</t>
  </si>
  <si>
    <t xml:space="preserve">Оговорки</t>
  </si>
  <si>
    <t xml:space="preserve">ИБП</t>
  </si>
  <si>
    <t xml:space="preserve">APC</t>
  </si>
  <si>
    <t xml:space="preserve">Smart-UPS SRT 3000VA RM SRT3000RMXLI-NC</t>
  </si>
  <si>
    <t xml:space="preserve">verified_2026-10-13</t>
  </si>
  <si>
    <t xml:space="preserve">https://www.tfk.ru/products/accessories/power-supplies/ups/ups-for-servers/srt3000rmxli-nc.html</t>
  </si>
  <si>
    <t xml:space="preserve">Цена для организаций/при оплате СБП; в заголовке страницы 395 810, на странице также 393 500 как неактуальная. Дата поступления сдвинулась с 09.10 на 16.10. Гарантия только продавца (6 мес). Сменная АКБ APCRBC152 отдельно 92 337–93 270 руб., ожидание от 10 недель. В 3,6–5 раз дороже российских аналогов.</t>
  </si>
  <si>
    <t xml:space="preserve">Vertiv</t>
  </si>
  <si>
    <t xml:space="preserve">Liebert GXT5-3000IRT2UXLE</t>
  </si>
  <si>
    <t xml:space="preserve">https://www.kns.ru/product/ibp-liebert-gxt5-3000irt2uxle/</t>
  </si>
  <si>
    <t xml:space="preserve">Фактически недоступен к покупке: цена на странице последняя известная. Гарантия 24 мес по странице vertiv.com/ru-emea от 03.10 (страница отвечала «not available for your location»), актуальность не подтверждена. Официального заявления Vertiv о статусе в РФ не найдено.</t>
  </si>
  <si>
    <t xml:space="preserve">Eltena</t>
  </si>
  <si>
    <t xml:space="preserve">Monolith E3000RTLT (EN-ME-3000RTLT) + батарейный блок BFR96-9E</t>
  </si>
  <si>
    <t xml:space="preserve">estimate</t>
  </si>
  <si>
    <t xml:space="preserve">https://www.beloten.ru/ibp/ibp-eltena-monolith-e3000rtlt-2u-2400vt-vneshnie-akb-96v-zu-1-6a/</t>
  </si>
  <si>
    <t xml:space="preserve">ЦЕНА НЕПОЛНАЯ: 72 310 = только ИБП. Версии 3000 ВА со встроенными АКБ у серии Monolith E нет (eltena.com: E3000RTLT и E2000RTLT). Цена блока BFR96-9E на открытой странице не найдена = not_found; в сниппетах поиска 36 522–36 880 руб. (не верифицировано). Ориентир суммы ИБП+АКБ ≈108,8–109,2 тыс. руб. НЕ верифицирован. Российский вендор, но производство OEM в Китае. 03.10 у UPS-Mag было 68 947 и гарантия 12 мес; сегодня UPS-Mag не открылся (таймаут).</t>
  </si>
  <si>
    <t xml:space="preserve">Piton</t>
  </si>
  <si>
    <t xml:space="preserve">PitON РТ-серия 3kVA с АКБ 9Ач (5 лет), РТ0030.008.002</t>
  </si>
  <si>
    <t xml:space="preserve">https://piton-ups.ru/istochniki-besperebojnogo-pitaniya-ibp/odnofaznye-ibp-seriya-rt</t>
  </si>
  <si>
    <t xml:space="preserve">Цена со страницы серии на piton-ups.ru (бренд PITUPS, юрлицо не указано; сайт пишет, что цены носят ознакомительный характер); старая цена 138 050. Ссылка карточки содержит «bez-akb» при названии «с АКБ»: комплектацию уточнить. Гарантия 24 мес взята с UPS-Mag от 03.10 для версии без АКБ, на piton-ups.ru срок не указан. Там же: РТ0030.008.000 без АКБ 53 783; новая модель РТ003Н.006.205 3кВА/3кВт с АКБ 6×9 Ач 53 210; батарейный модуль РТВ0030.008.002 41 534.</t>
  </si>
  <si>
    <t xml:space="preserve">АВР</t>
  </si>
  <si>
    <t xml:space="preserve">Elemy</t>
  </si>
  <si>
    <t xml:space="preserve">ATS-1603</t>
  </si>
  <si>
    <t xml:space="preserve">https://www.elemy.ru/ats-1603</t>
  </si>
  <si>
    <t xml:space="preserve">Выбрана как ближайшая по функциям к Уралэнерготел и BONPET: без SNMP/Web. Расширенная гарантия до 4 лет. Реестр Минпромторга производитель заявляет только для ATS-2001, для ATS-1603 не заявлен. Вариант с SNMP/Modbus ATS-1204/16: 125 000 руб., в наличии 4 шт, гарантия 24 мес (shop.nag.ru, 13.10).</t>
  </si>
  <si>
    <t xml:space="preserve">Уралэнерготел</t>
  </si>
  <si>
    <t xml:space="preserve">АВР19-16А-4 (NA04190316)</t>
  </si>
  <si>
    <t xml:space="preserve">https://uralenergotel.ru/product/ubox-avr-16-4</t>
  </si>
  <si>
    <t xml:space="preserve">Цена 13.10 подтверждена только заголовком страницы («от 37 240,5 руб.»): страница рендерится скриптом, WebFetch дважды не дождался ответа. НДС, наличие, гарантия взяты из снимка 03.10. Переключение 45–55 мс медленнее электронных АВР (6–20 мс): для ИТ-нагрузки без ИБП это существенно.</t>
  </si>
  <si>
    <t xml:space="preserve">BONPET</t>
  </si>
  <si>
    <t xml:space="preserve">АВР-Б-63-2-1 (щитовой шкаф)</t>
  </si>
  <si>
    <t xml:space="preserve">snapshot_2026-10-03</t>
  </si>
  <si>
    <t xml:space="preserve">https://bonpet.tech/product/avr-b-63-2-1</t>
  </si>
  <si>
    <t xml:space="preserve">ИНОЙ КЛАСС: не стоечный 16 А, а щитовой трёхфазный 63 А. Поиск 13.10 стоечного/16 А варианта BONPET ничего не дал. 13.10 страницу не перепроверял (бюджет), цена из снимка. Срок «от 12 дней» переведён в 2 недели.</t>
  </si>
  <si>
    <t xml:space="preserve">КВМ</t>
  </si>
  <si>
    <t xml:space="preserve">Aten</t>
  </si>
  <si>
    <t xml:space="preserve">CS1924M-AT-G</t>
  </si>
  <si>
    <t xml:space="preserve">https://www.kns.ru/product/kvm-pereklyuchatel-aten-cs1924m-at-g/</t>
  </si>
  <si>
    <t xml:space="preserve">Точный аналог CS1924-AT-G (4 порта DP, без MST) без цены: atenpro.ru «Уточнить наличие» (НДС 22%, гарантия 2 года), xcom-shop «Нет в наличии». Поэтому взят MST-вариант. Противоречие: в англ. названии КНС «2P», хотя по индексу 1924 модель 4-портовая; уточнить. Для юрлиц цена с НДС. Статус «официальный дистрибьютор» по сайту aten.ru, подтверждения на aten.com нет.</t>
  </si>
  <si>
    <t xml:space="preserve">Adder</t>
  </si>
  <si>
    <t xml:space="preserve">ADDERView PRO AV4PRO-DP</t>
  </si>
  <si>
    <t xml:space="preserve">snippet_unverified</t>
  </si>
  <si>
    <t xml:space="preserve">https://www.adder.com/en/kvm-solutions/adderviewr-4-pro-displayport</t>
  </si>
  <si>
    <t xml:space="preserve">Проверяемой рублёвой цены нет. Справочно, не для РФ: в сниппетах US-магазинов $738–820 (вариант -US); по сниппету CDW снят с продажи 09.06.2026 (не проверено). Сниппет 03.10 с ct-company 73 990 руб. не проверен: страница за антибот-защитой, обход не выполнялся. Статус «эксклюзивный дистрибьютор» kvmtech.ru и «официальный» МАСТ противоречат друг другу.</t>
  </si>
  <si>
    <t xml:space="preserve">Коммутаторы</t>
  </si>
  <si>
    <t xml:space="preserve">HP (HPE Aruba)</t>
  </si>
  <si>
    <t xml:space="preserve">Aruba CX 6100 24G 4SFP+ (JL678A)</t>
  </si>
  <si>
    <t xml:space="preserve">https://www.alianza.ru/kommutator-aruba-6100-jl678a-24g-4sfp/</t>
  </si>
  <si>
    <t xml:space="preserve">Гарантия на странице не указана; официальная гарантия и поддержка HPE в РФ не действуют (Хабр, 10.08.2026). Приказ №4769 код 8517 не меняет, исключение HPE касается 8471 и мониторов 8528 (см. раздел о параллельном импорте). На странице рядом с ценой «0 руб.» без пояснения.</t>
  </si>
  <si>
    <t xml:space="preserve">Cisco</t>
  </si>
  <si>
    <t xml:space="preserve">Catalyst C1000-24T-4X-L</t>
  </si>
  <si>
    <t xml:space="preserve">https://network.msk.ru/products/kommutator_cisco_c100024t4xl</t>
  </si>
  <si>
    <t xml:space="preserve">Только L2. Гарантия продавца 1 год «если не оговорено иное»; поддержка Cisco (TAC, ПО) в РФ закрыта. 03.10 у другого продавца (100gigabit.ru) было 49 806,78 без указания НДС: разброс цен большой.</t>
  </si>
  <si>
    <t xml:space="preserve">Eltex</t>
  </si>
  <si>
    <t xml:space="preserve">MES2300-24</t>
  </si>
  <si>
    <t xml:space="preserve">https://etpgpb.ru/portal/catalog/products/2340075-kommutator-dostupa-eltex-mes2300-24-24h10-100-1000base-t-rj-45-4h10/</t>
  </si>
  <si>
    <t xml:space="preserve">13.10 ЭТП ГПБ недоступна (connection refused), поиск розничной цены не дал результата: у дилеров «по запросу». Цена с закупочной площадки, не розничная, НДС не указан. Реестр ПП 719 заявлен дилером для категории MES в целом, запись по модели не подтверждена. Единственный кандидат с полноценным L3.</t>
  </si>
  <si>
    <t xml:space="preserve">MikroTik</t>
  </si>
  <si>
    <t xml:space="preserve">CRS326-24G-2S+RM</t>
  </si>
  <si>
    <t xml:space="preserve">https://serverflow.ru/catalog/setevoe-oborudovanie/kommutatory/mikrotik-crs326-24g-2s-rm/</t>
  </si>
  <si>
    <t xml:space="preserve">ОТЛИЧИЕ ПО ПОРТАМ: 2×SFP+ вместо 4. У MikroTik нет модели без PoE с 24×1G + 4×SFP+. Ближайшая с 4×SFP+ — CRS328-24P-4S+RM с PoE+: 56 279 руб., под заказ 12 недель (НАГ, снимок 03.10). Цена 26 200 указана «с учётом расширенной гарантии» и с НДС 7% (продавец на пониженной ставке, а не 22%). Срок 40–60 раб. дн. ≈ 8–12 нед., взята верхняя граница.</t>
  </si>
  <si>
    <t xml:space="preserve">ПК и серверы</t>
  </si>
  <si>
    <t xml:space="preserve">Lenovo</t>
  </si>
  <si>
    <t xml:space="preserve">ThinkCentre M70q Gen 4 12E3S1KY00 + ThinkSystem SR250 V3 (1U)</t>
  </si>
  <si>
    <t xml:space="preserve">https://www.kns.ru/product/kompyuter-lenovo-thinkcentre-m70q-gen-4-12e3s1ky00/ ; https://servermall.ru/catalog/servers/lenovo-thinksystem-sr250-v3-858/</t>
  </si>
  <si>
    <t xml:space="preserve">Сумма = 63 562 (ПК, КНС, для юрлиц с НДС) + 391 862 (сервер «от», с НДС; без НДС 321 198). Гарантия 60 мес только на сервер (5 лет с выездом, продавец); на ПК срок не указан. Lenovo нет в списке брендов, исключённых по 8471. ПК фактически недоступен. Состав базовой конфигурации SR250 V3 не раскрыт. СЕРВЕР МОЛЛ 13.10 называет себя авторизованным партнёром DELL, про Lenovo не пишет.</t>
  </si>
  <si>
    <t xml:space="preserve">HP</t>
  </si>
  <si>
    <t xml:space="preserve">HP Elite 800 G9 Mini C7GG7AT + HPE ProLiant DL20 Gen10 4SFF P17081-B21 (1U)</t>
  </si>
  <si>
    <t xml:space="preserve">https://www.kns.ru/catalog/kompyutery/hp/elitedesk/800-g9/ ; https://servermall.ru/sets/server-hpe-proliant-dl20-gen10/</t>
  </si>
  <si>
    <t xml:space="preserve">Сумма = 95 933 (ПК, КНС; НДС на странице каталога не указан) + 184 244 (сервер «от», с НДС 22%; без НДС 151 020). Гарантия 60 мес только на сервер (продавец); на ПК у КНС срок не указан. DL20 Gen10 старше поколением (Xeon E-2200, DDR4), чем SR250 V3 (E-2400, DDR5): прямое сравнение цен некорректно. HP и HPE исключены из перечня параллельного импорта с 27.05.2026 по кодам 8471 49 000 0 и 8471 70; под какой код декларируются мини-ПК и сервер, не проверялось.</t>
  </si>
  <si>
    <t xml:space="preserve">Локальные приоритеты (Python, собственный вектор матриц парных сравнений альтернатив) и глобальный приоритет (формула)</t>
  </si>
  <si>
    <t xml:space="preserve">Глобальный приоритет = Σ w_k · p_k; веса берутся с листа «Критерии», ранг - внутри категории.</t>
  </si>
  <si>
    <t xml:space="preserve">p(k1)</t>
  </si>
  <si>
    <t xml:space="preserve">p(k2)</t>
  </si>
  <si>
    <t xml:space="preserve">p(k3)</t>
  </si>
  <si>
    <t xml:space="preserve">p(k4)</t>
  </si>
  <si>
    <t xml:space="preserve">p(k5)</t>
  </si>
  <si>
    <t xml:space="preserve">p(k6)</t>
  </si>
  <si>
    <t xml:space="preserve">p(k7)</t>
  </si>
  <si>
    <t xml:space="preserve">Глобальный приоритет</t>
  </si>
  <si>
    <t xml:space="preserve">Ранг в категории</t>
  </si>
  <si>
    <t xml:space="preserve">Вес w →</t>
  </si>
  <si>
    <t xml:space="preserve">Пример: матрица парных сравнений ИБП по стоимости (k1, чем дешевле - тем лучше)</t>
  </si>
  <si>
    <t xml:space="preserve">a_ij = цена_j / цена_i, ограничено шкалой Саати [1/9; 9]</t>
  </si>
  <si>
    <t xml:space="preserve">Цена, ₽</t>
  </si>
  <si>
    <t xml:space="preserve">Ср. геом.</t>
  </si>
  <si>
    <t xml:space="preserve">Приоритет</t>
  </si>
  <si>
    <t xml:space="preserve">(A·w)/w</t>
  </si>
  <si>
    <t xml:space="preserve">λmax</t>
  </si>
  <si>
    <t xml:space="preserve">ИС</t>
  </si>
  <si>
    <t xml:space="preserve">СИ</t>
  </si>
  <si>
    <t xml:space="preserve">ОС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</si>
</sst>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"/>
    <numFmt numFmtId="168" formatCode="0.000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0"/>
      <name val="Arial"/>
      <family val="2"/>
    </font>
    <font>
      <sz val="11"/>
      <color rgb="FF008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25.35" hidden="false" customHeight="false" outlineLevel="0" collapsed="false">
      <c r="A7" s="2" t="s">
        <v>6</v>
      </c>
    </row>
    <row r="8" customFormat="false" ht="25.35" hidden="false" customHeight="false" outlineLevel="0" collapsed="false">
      <c r="A8" s="2" t="s">
        <v>7</v>
      </c>
    </row>
    <row r="9" customFormat="false" ht="25.35" hidden="false" customHeight="false" outlineLevel="0" collapsed="false">
      <c r="A9" s="2" t="s">
        <v>8</v>
      </c>
    </row>
    <row r="10" customFormat="false" ht="25.3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8"/>
    <col collapsed="false" customWidth="true" hidden="false" outlineLevel="0" max="13" min="9" style="0" width="15"/>
  </cols>
  <sheetData>
    <row r="1" customFormat="false" ht="29.85" hidden="false" customHeight="false" outlineLevel="0" collapsed="false">
      <c r="A1" s="4" t="s">
        <v>11</v>
      </c>
    </row>
    <row r="2" customFormat="false" ht="25.35" hidden="false" customHeight="false" outlineLevel="0" collapsed="false">
      <c r="A2" s="5" t="s">
        <v>12</v>
      </c>
    </row>
    <row r="3" customFormat="false" ht="45" hidden="false" customHeight="tru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</row>
    <row r="4" customFormat="false" ht="15" hidden="false" customHeight="false" outlineLevel="0" collapsed="false">
      <c r="A4" s="7" t="s">
        <v>26</v>
      </c>
      <c r="B4" s="8" t="n">
        <v>1</v>
      </c>
      <c r="C4" s="9" t="n">
        <v>2</v>
      </c>
      <c r="D4" s="9" t="n">
        <v>1</v>
      </c>
      <c r="E4" s="9" t="n">
        <v>2</v>
      </c>
      <c r="F4" s="9" t="n">
        <v>3</v>
      </c>
      <c r="G4" s="9" t="n">
        <v>1</v>
      </c>
      <c r="H4" s="9" t="n">
        <v>3</v>
      </c>
      <c r="I4" s="10" t="n">
        <f aca="false">PRODUCT(B4:H4)^(1/7)</f>
        <v>1.66851044102683</v>
      </c>
      <c r="J4" s="11" t="n">
        <f aca="false">I4/SUM($I$4:$I$10)</f>
        <v>0.213144357747685</v>
      </c>
      <c r="K4" s="10" t="n">
        <f aca="false">B4*$J$4+C4*$J$5+D4*$J$6+E4*$J$7+F4*$J$8+G4*$J$9+H4*$J$10</f>
        <v>1.5207997893639</v>
      </c>
      <c r="L4" s="10" t="n">
        <f aca="false">K4/J4</f>
        <v>7.13506942165546</v>
      </c>
      <c r="M4" s="12" t="n">
        <v>0.2143</v>
      </c>
    </row>
    <row r="5" customFormat="false" ht="15" hidden="false" customHeight="false" outlineLevel="0" collapsed="false">
      <c r="A5" s="7" t="s">
        <v>27</v>
      </c>
      <c r="B5" s="13" t="n">
        <f aca="false">1/C4</f>
        <v>0.5</v>
      </c>
      <c r="C5" s="8" t="n">
        <v>1</v>
      </c>
      <c r="D5" s="9" t="n">
        <v>0.5</v>
      </c>
      <c r="E5" s="9" t="n">
        <v>2</v>
      </c>
      <c r="F5" s="9" t="n">
        <v>3</v>
      </c>
      <c r="G5" s="9" t="n">
        <v>1</v>
      </c>
      <c r="H5" s="9" t="n">
        <v>2</v>
      </c>
      <c r="I5" s="10" t="n">
        <f aca="false">PRODUCT(B5:H5)^(1/7)</f>
        <v>1.16993081275869</v>
      </c>
      <c r="J5" s="11" t="n">
        <f aca="false">I5/SUM($I$4:$I$10)</f>
        <v>0.149453156278252</v>
      </c>
      <c r="K5" s="10" t="n">
        <f aca="false">B5*$J$4+C5*$J$5+D5*$J$6+E5*$J$7+F5*$J$8+G5*$J$9+H5*$J$10</f>
        <v>1.06919935634235</v>
      </c>
      <c r="L5" s="10" t="n">
        <f aca="false">K5/J5</f>
        <v>7.15407678879471</v>
      </c>
      <c r="M5" s="12" t="n">
        <v>0.1505</v>
      </c>
    </row>
    <row r="6" customFormat="false" ht="15" hidden="false" customHeight="false" outlineLevel="0" collapsed="false">
      <c r="A6" s="7" t="s">
        <v>28</v>
      </c>
      <c r="B6" s="13" t="n">
        <f aca="false">1/D4</f>
        <v>1</v>
      </c>
      <c r="C6" s="13" t="n">
        <f aca="false">1/D5</f>
        <v>2</v>
      </c>
      <c r="D6" s="8" t="n">
        <v>1</v>
      </c>
      <c r="E6" s="9" t="n">
        <v>2</v>
      </c>
      <c r="F6" s="9" t="n">
        <v>4</v>
      </c>
      <c r="G6" s="9" t="n">
        <v>1</v>
      </c>
      <c r="H6" s="9" t="n">
        <v>3</v>
      </c>
      <c r="I6" s="10" t="n">
        <f aca="false">PRODUCT(B6:H6)^(1/7)</f>
        <v>1.73851050644476</v>
      </c>
      <c r="J6" s="11" t="n">
        <f aca="false">I6/SUM($I$4:$I$10)</f>
        <v>0.222086536722974</v>
      </c>
      <c r="K6" s="10" t="n">
        <f aca="false">B6*$J$4+C6*$J$5+D6*$J$6+E6*$J$7+F6*$J$8+G6*$J$9+H6*$J$10</f>
        <v>1.57448408185763</v>
      </c>
      <c r="L6" s="10" t="n">
        <f aca="false">K6/J6</f>
        <v>7.08950711326372</v>
      </c>
      <c r="M6" s="12" t="n">
        <v>0.2219</v>
      </c>
    </row>
    <row r="7" customFormat="false" ht="15" hidden="false" customHeight="false" outlineLevel="0" collapsed="false">
      <c r="A7" s="7" t="s">
        <v>29</v>
      </c>
      <c r="B7" s="13" t="n">
        <f aca="false">1/E4</f>
        <v>0.5</v>
      </c>
      <c r="C7" s="13" t="n">
        <f aca="false">1/E5</f>
        <v>0.5</v>
      </c>
      <c r="D7" s="13" t="n">
        <f aca="false">1/E6</f>
        <v>0.5</v>
      </c>
      <c r="E7" s="8" t="n">
        <v>1</v>
      </c>
      <c r="F7" s="9" t="n">
        <v>2</v>
      </c>
      <c r="G7" s="9" t="n">
        <v>0.5</v>
      </c>
      <c r="H7" s="9" t="n">
        <v>1</v>
      </c>
      <c r="I7" s="10" t="n">
        <f aca="false">PRODUCT(B7:H7)^(1/7)</f>
        <v>0.742997144568474</v>
      </c>
      <c r="J7" s="11" t="n">
        <f aca="false">I7/SUM($I$4:$I$10)</f>
        <v>0.0949143890822466</v>
      </c>
      <c r="K7" s="10" t="n">
        <f aca="false">B7*$J$4+C7*$J$5+D7*$J$6+E7*$J$7+F7*$J$8+G7*$J$9+H7*$J$10</f>
        <v>0.670249548035705</v>
      </c>
      <c r="L7" s="10" t="n">
        <f aca="false">K7/J7</f>
        <v>7.06162210510475</v>
      </c>
      <c r="M7" s="12" t="n">
        <v>0.0944</v>
      </c>
    </row>
    <row r="8" customFormat="false" ht="15" hidden="false" customHeight="false" outlineLevel="0" collapsed="false">
      <c r="A8" s="7" t="s">
        <v>30</v>
      </c>
      <c r="B8" s="13" t="n">
        <f aca="false">1/F4</f>
        <v>0.333333333333333</v>
      </c>
      <c r="C8" s="13" t="n">
        <f aca="false">1/F5</f>
        <v>0.333333333333333</v>
      </c>
      <c r="D8" s="13" t="n">
        <f aca="false">1/F6</f>
        <v>0.25</v>
      </c>
      <c r="E8" s="13" t="n">
        <f aca="false">1/F7</f>
        <v>0.5</v>
      </c>
      <c r="F8" s="8" t="n">
        <v>1</v>
      </c>
      <c r="G8" s="9" t="n">
        <v>0.333333333333333</v>
      </c>
      <c r="H8" s="9" t="n">
        <v>0.5</v>
      </c>
      <c r="I8" s="10" t="n">
        <f aca="false">PRODUCT(B8:H8)^(1/7)</f>
        <v>0.420244774440454</v>
      </c>
      <c r="J8" s="11" t="n">
        <f aca="false">I8/SUM($I$4:$I$10)</f>
        <v>0.0536842924937328</v>
      </c>
      <c r="K8" s="10" t="n">
        <f aca="false">B8*$J$4+C8*$J$5+D8*$J$6+E8*$J$7+F8*$J$8+G8*$J$9+H8*$J$10</f>
        <v>0.380523353367276</v>
      </c>
      <c r="L8" s="10" t="n">
        <f aca="false">K8/J8</f>
        <v>7.08816928921433</v>
      </c>
      <c r="M8" s="12" t="n">
        <v>0.0536</v>
      </c>
    </row>
    <row r="9" customFormat="false" ht="15" hidden="false" customHeight="false" outlineLevel="0" collapsed="false">
      <c r="A9" s="7" t="s">
        <v>31</v>
      </c>
      <c r="B9" s="13" t="n">
        <f aca="false">1/G4</f>
        <v>1</v>
      </c>
      <c r="C9" s="13" t="n">
        <f aca="false">1/G5</f>
        <v>1</v>
      </c>
      <c r="D9" s="13" t="n">
        <f aca="false">1/G6</f>
        <v>1</v>
      </c>
      <c r="E9" s="13" t="n">
        <f aca="false">1/G7</f>
        <v>2</v>
      </c>
      <c r="F9" s="13" t="n">
        <f aca="false">1/G8</f>
        <v>3</v>
      </c>
      <c r="G9" s="8" t="n">
        <v>1</v>
      </c>
      <c r="H9" s="9" t="n">
        <v>2</v>
      </c>
      <c r="I9" s="10" t="n">
        <f aca="false">PRODUCT(B9:H9)^(1/7)</f>
        <v>1.42616163522738</v>
      </c>
      <c r="J9" s="11" t="n">
        <f aca="false">I9/SUM($I$4:$I$10)</f>
        <v>0.182185438167144</v>
      </c>
      <c r="K9" s="10" t="n">
        <f aca="false">B9*$J$4+C9*$J$5+D9*$J$6+E9*$J$7+F9*$J$8+G9*$J$9+H9*$J$10</f>
        <v>1.28681480357768</v>
      </c>
      <c r="L9" s="10" t="n">
        <f aca="false">K9/J9</f>
        <v>7.06321436292347</v>
      </c>
      <c r="M9" s="12" t="n">
        <v>0.1812</v>
      </c>
    </row>
    <row r="10" customFormat="false" ht="15" hidden="false" customHeight="false" outlineLevel="0" collapsed="false">
      <c r="A10" s="7" t="s">
        <v>32</v>
      </c>
      <c r="B10" s="13" t="n">
        <f aca="false">1/H4</f>
        <v>0.333333333333333</v>
      </c>
      <c r="C10" s="13" t="n">
        <f aca="false">1/H5</f>
        <v>0.5</v>
      </c>
      <c r="D10" s="13" t="n">
        <f aca="false">1/H6</f>
        <v>0.333333333333333</v>
      </c>
      <c r="E10" s="13" t="n">
        <f aca="false">1/H7</f>
        <v>1</v>
      </c>
      <c r="F10" s="13" t="n">
        <f aca="false">1/H8</f>
        <v>2</v>
      </c>
      <c r="G10" s="13" t="n">
        <f aca="false">1/H9</f>
        <v>0.5</v>
      </c>
      <c r="H10" s="8" t="n">
        <v>1</v>
      </c>
      <c r="I10" s="10" t="n">
        <f aca="false">PRODUCT(B10:H10)^(1/7)</f>
        <v>0.66172166893624</v>
      </c>
      <c r="J10" s="11" t="n">
        <f aca="false">I10/SUM($I$4:$I$10)</f>
        <v>0.084531829507966</v>
      </c>
      <c r="K10" s="10" t="n">
        <f aca="false">B10*$J$4+C10*$J$5+D10*$J$6+E10*$J$7+F10*$J$8+G10*$J$9+H10*$J$10</f>
        <v>0.597711065623929</v>
      </c>
      <c r="L10" s="10" t="n">
        <f aca="false">K10/J10</f>
        <v>7.07084028706137</v>
      </c>
      <c r="M10" s="12" t="n">
        <v>0.0841</v>
      </c>
    </row>
    <row r="12" customFormat="false" ht="15" hidden="false" customHeight="false" outlineLevel="0" collapsed="false">
      <c r="A12" s="14" t="s">
        <v>33</v>
      </c>
      <c r="B12" s="15" t="n">
        <v>7</v>
      </c>
    </row>
    <row r="13" customFormat="false" ht="15" hidden="false" customHeight="false" outlineLevel="0" collapsed="false">
      <c r="A13" s="14" t="s">
        <v>34</v>
      </c>
      <c r="B13" s="10" t="n">
        <f aca="false">AVERAGE(L4:L10)</f>
        <v>7.09464276685969</v>
      </c>
    </row>
    <row r="14" customFormat="false" ht="15" hidden="false" customHeight="false" outlineLevel="0" collapsed="false">
      <c r="A14" s="14" t="s">
        <v>35</v>
      </c>
      <c r="B14" s="10" t="n">
        <f aca="false">(B13-B12)/(B12-1)</f>
        <v>0.0157737944766142</v>
      </c>
    </row>
    <row r="15" customFormat="false" ht="15" hidden="false" customHeight="false" outlineLevel="0" collapsed="false">
      <c r="A15" s="14" t="s">
        <v>36</v>
      </c>
      <c r="B15" s="16" t="n">
        <v>1.32</v>
      </c>
    </row>
    <row r="16" customFormat="false" ht="15" hidden="false" customHeight="false" outlineLevel="0" collapsed="false">
      <c r="A16" s="17" t="s">
        <v>37</v>
      </c>
      <c r="B16" s="18" t="n">
        <f aca="false">B14/B15</f>
        <v>0.0119498443004653</v>
      </c>
    </row>
    <row r="17" customFormat="false" ht="73.1" hidden="false" customHeight="false" outlineLevel="0" collapsed="false">
      <c r="A17" s="17" t="s">
        <v>38</v>
      </c>
      <c r="B17" s="19" t="str">
        <f aca="false">IF(B16&lt;=0.1,"суждения согласованы (ОС ≤ 0,10)","пересмотреть суждения (ОС &gt; 0,10)")</f>
        <v>суждения согласованы (ОС ≤ 0,10)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3" min="12" style="0" width="40"/>
  </cols>
  <sheetData>
    <row r="1" customFormat="false" ht="143.25" hidden="false" customHeight="false" outlineLevel="0" collapsed="false">
      <c r="A1" s="4" t="s">
        <v>39</v>
      </c>
    </row>
    <row r="3" customFormat="false" ht="45" hidden="false" customHeight="true" outlineLevel="0" collapsed="false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51</v>
      </c>
      <c r="M3" s="6" t="s">
        <v>52</v>
      </c>
    </row>
    <row r="4" customFormat="false" ht="97" hidden="false" customHeight="false" outlineLevel="0" collapsed="false">
      <c r="A4" s="20" t="s">
        <v>53</v>
      </c>
      <c r="B4" s="20" t="s">
        <v>54</v>
      </c>
      <c r="C4" s="20" t="s">
        <v>55</v>
      </c>
      <c r="D4" s="21" t="n">
        <v>389565</v>
      </c>
      <c r="E4" s="15" t="n">
        <v>5</v>
      </c>
      <c r="F4" s="15" t="n">
        <v>4</v>
      </c>
      <c r="G4" s="15" t="n">
        <v>1</v>
      </c>
      <c r="H4" s="15" t="n">
        <v>6</v>
      </c>
      <c r="I4" s="15" t="n">
        <v>4</v>
      </c>
      <c r="J4" s="15" t="n">
        <v>1</v>
      </c>
      <c r="K4" s="20" t="s">
        <v>56</v>
      </c>
      <c r="L4" s="20" t="s">
        <v>57</v>
      </c>
      <c r="M4" s="20" t="s">
        <v>58</v>
      </c>
    </row>
    <row r="5" customFormat="false" ht="85.05" hidden="false" customHeight="false" outlineLevel="0" collapsed="false">
      <c r="A5" s="20" t="s">
        <v>53</v>
      </c>
      <c r="B5" s="20" t="s">
        <v>59</v>
      </c>
      <c r="C5" s="20" t="s">
        <v>60</v>
      </c>
      <c r="D5" s="21" t="n">
        <v>106724</v>
      </c>
      <c r="E5" s="15" t="n">
        <v>5</v>
      </c>
      <c r="F5" s="15" t="n">
        <v>1</v>
      </c>
      <c r="G5" s="15" t="n">
        <v>12</v>
      </c>
      <c r="H5" s="15" t="n">
        <v>24</v>
      </c>
      <c r="I5" s="15" t="n">
        <v>3</v>
      </c>
      <c r="J5" s="15" t="n">
        <v>1</v>
      </c>
      <c r="K5" s="20" t="s">
        <v>56</v>
      </c>
      <c r="L5" s="20" t="s">
        <v>61</v>
      </c>
      <c r="M5" s="20" t="s">
        <v>62</v>
      </c>
    </row>
    <row r="6" customFormat="false" ht="144.75" hidden="false" customHeight="false" outlineLevel="0" collapsed="false">
      <c r="A6" s="20" t="s">
        <v>53</v>
      </c>
      <c r="B6" s="20" t="s">
        <v>63</v>
      </c>
      <c r="C6" s="20" t="s">
        <v>64</v>
      </c>
      <c r="D6" s="21" t="n">
        <v>113844</v>
      </c>
      <c r="E6" s="15" t="n">
        <v>4</v>
      </c>
      <c r="F6" s="15" t="n">
        <v>5</v>
      </c>
      <c r="G6" s="15" t="n">
        <v>1</v>
      </c>
      <c r="H6" s="15" t="n">
        <v>24</v>
      </c>
      <c r="I6" s="15" t="n">
        <v>1</v>
      </c>
      <c r="J6" s="15" t="n">
        <v>3</v>
      </c>
      <c r="K6" s="20" t="s">
        <v>65</v>
      </c>
      <c r="L6" s="20" t="s">
        <v>66</v>
      </c>
      <c r="M6" s="20" t="s">
        <v>67</v>
      </c>
    </row>
    <row r="7" customFormat="false" ht="156.7" hidden="false" customHeight="false" outlineLevel="0" collapsed="false">
      <c r="A7" s="20" t="s">
        <v>53</v>
      </c>
      <c r="B7" s="20" t="s">
        <v>68</v>
      </c>
      <c r="C7" s="20" t="s">
        <v>69</v>
      </c>
      <c r="D7" s="21" t="n">
        <v>79950</v>
      </c>
      <c r="E7" s="15" t="n">
        <v>4</v>
      </c>
      <c r="F7" s="15" t="n">
        <v>5</v>
      </c>
      <c r="G7" s="15" t="n">
        <v>1</v>
      </c>
      <c r="H7" s="15" t="n">
        <v>24</v>
      </c>
      <c r="I7" s="15" t="n">
        <v>1</v>
      </c>
      <c r="J7" s="15" t="n">
        <v>4</v>
      </c>
      <c r="K7" s="20" t="s">
        <v>56</v>
      </c>
      <c r="L7" s="20" t="s">
        <v>70</v>
      </c>
      <c r="M7" s="20" t="s">
        <v>71</v>
      </c>
    </row>
    <row r="8" customFormat="false" ht="97" hidden="false" customHeight="false" outlineLevel="0" collapsed="false">
      <c r="A8" s="20" t="s">
        <v>72</v>
      </c>
      <c r="B8" s="20" t="s">
        <v>73</v>
      </c>
      <c r="C8" s="20" t="s">
        <v>74</v>
      </c>
      <c r="D8" s="21" t="n">
        <v>60000</v>
      </c>
      <c r="E8" s="15" t="n">
        <v>4</v>
      </c>
      <c r="F8" s="15" t="n">
        <v>4</v>
      </c>
      <c r="G8" s="15" t="n">
        <v>3</v>
      </c>
      <c r="H8" s="15" t="n">
        <v>24</v>
      </c>
      <c r="I8" s="15" t="n">
        <v>1</v>
      </c>
      <c r="J8" s="15" t="n">
        <v>4</v>
      </c>
      <c r="K8" s="20" t="s">
        <v>56</v>
      </c>
      <c r="L8" s="20" t="s">
        <v>75</v>
      </c>
      <c r="M8" s="20" t="s">
        <v>76</v>
      </c>
    </row>
    <row r="9" customFormat="false" ht="97" hidden="false" customHeight="false" outlineLevel="0" collapsed="false">
      <c r="A9" s="20" t="s">
        <v>72</v>
      </c>
      <c r="B9" s="20" t="s">
        <v>77</v>
      </c>
      <c r="C9" s="20" t="s">
        <v>78</v>
      </c>
      <c r="D9" s="21" t="n">
        <v>37240.5</v>
      </c>
      <c r="E9" s="15" t="n">
        <v>2</v>
      </c>
      <c r="F9" s="15" t="n">
        <v>5</v>
      </c>
      <c r="G9" s="15" t="n">
        <v>1</v>
      </c>
      <c r="H9" s="15" t="n">
        <v>12</v>
      </c>
      <c r="I9" s="15" t="n">
        <v>1</v>
      </c>
      <c r="J9" s="15" t="n">
        <v>4</v>
      </c>
      <c r="K9" s="20" t="s">
        <v>56</v>
      </c>
      <c r="L9" s="20" t="s">
        <v>79</v>
      </c>
      <c r="M9" s="20" t="s">
        <v>80</v>
      </c>
    </row>
    <row r="10" customFormat="false" ht="73.1" hidden="false" customHeight="false" outlineLevel="0" collapsed="false">
      <c r="A10" s="20" t="s">
        <v>72</v>
      </c>
      <c r="B10" s="20" t="s">
        <v>81</v>
      </c>
      <c r="C10" s="20" t="s">
        <v>82</v>
      </c>
      <c r="D10" s="21" t="n">
        <v>88024</v>
      </c>
      <c r="E10" s="15" t="n">
        <v>3</v>
      </c>
      <c r="F10" s="15" t="n">
        <v>4</v>
      </c>
      <c r="G10" s="15" t="n">
        <v>2</v>
      </c>
      <c r="H10" s="15" t="n">
        <v>12</v>
      </c>
      <c r="I10" s="15" t="n">
        <v>1</v>
      </c>
      <c r="J10" s="15" t="n">
        <v>4</v>
      </c>
      <c r="K10" s="20" t="s">
        <v>83</v>
      </c>
      <c r="L10" s="20" t="s">
        <v>84</v>
      </c>
      <c r="M10" s="20" t="s">
        <v>85</v>
      </c>
    </row>
    <row r="11" customFormat="false" ht="120.85" hidden="false" customHeight="false" outlineLevel="0" collapsed="false">
      <c r="A11" s="20" t="s">
        <v>86</v>
      </c>
      <c r="B11" s="20" t="s">
        <v>87</v>
      </c>
      <c r="C11" s="20" t="s">
        <v>88</v>
      </c>
      <c r="D11" s="21" t="n">
        <v>72119</v>
      </c>
      <c r="E11" s="15" t="n">
        <v>4</v>
      </c>
      <c r="F11" s="15" t="n">
        <v>4</v>
      </c>
      <c r="G11" s="15" t="n">
        <v>3</v>
      </c>
      <c r="H11" s="15" t="n">
        <v>12</v>
      </c>
      <c r="I11" s="15" t="n">
        <v>2</v>
      </c>
      <c r="J11" s="15" t="n">
        <v>1</v>
      </c>
      <c r="K11" s="20" t="s">
        <v>56</v>
      </c>
      <c r="L11" s="20" t="s">
        <v>89</v>
      </c>
      <c r="M11" s="20" t="s">
        <v>90</v>
      </c>
    </row>
    <row r="12" customFormat="false" ht="120.85" hidden="false" customHeight="false" outlineLevel="0" collapsed="false">
      <c r="A12" s="20" t="s">
        <v>86</v>
      </c>
      <c r="B12" s="20" t="s">
        <v>91</v>
      </c>
      <c r="C12" s="20" t="s">
        <v>92</v>
      </c>
      <c r="D12" s="21" t="n">
        <v>73990</v>
      </c>
      <c r="E12" s="15" t="n">
        <v>4</v>
      </c>
      <c r="F12" s="15" t="n">
        <v>2</v>
      </c>
      <c r="G12" s="15" t="n">
        <v>6</v>
      </c>
      <c r="H12" s="15" t="n">
        <v>12</v>
      </c>
      <c r="I12" s="15" t="n">
        <v>3</v>
      </c>
      <c r="J12" s="15" t="n">
        <v>1</v>
      </c>
      <c r="K12" s="20" t="s">
        <v>93</v>
      </c>
      <c r="L12" s="20" t="s">
        <v>94</v>
      </c>
      <c r="M12" s="20" t="s">
        <v>95</v>
      </c>
    </row>
    <row r="13" customFormat="false" ht="97" hidden="false" customHeight="false" outlineLevel="0" collapsed="false">
      <c r="A13" s="20" t="s">
        <v>96</v>
      </c>
      <c r="B13" s="20" t="s">
        <v>97</v>
      </c>
      <c r="C13" s="20" t="s">
        <v>98</v>
      </c>
      <c r="D13" s="21" t="n">
        <v>134080</v>
      </c>
      <c r="E13" s="15" t="n">
        <v>5</v>
      </c>
      <c r="F13" s="15" t="n">
        <v>4</v>
      </c>
      <c r="G13" s="15" t="n">
        <v>1</v>
      </c>
      <c r="H13" s="15" t="n">
        <v>12</v>
      </c>
      <c r="I13" s="15" t="n">
        <v>4</v>
      </c>
      <c r="J13" s="15" t="n">
        <v>1</v>
      </c>
      <c r="K13" s="20" t="s">
        <v>56</v>
      </c>
      <c r="L13" s="20" t="s">
        <v>99</v>
      </c>
      <c r="M13" s="20" t="s">
        <v>100</v>
      </c>
    </row>
    <row r="14" customFormat="false" ht="61.15" hidden="false" customHeight="false" outlineLevel="0" collapsed="false">
      <c r="A14" s="20" t="s">
        <v>96</v>
      </c>
      <c r="B14" s="20" t="s">
        <v>101</v>
      </c>
      <c r="C14" s="20" t="s">
        <v>102</v>
      </c>
      <c r="D14" s="21" t="n">
        <v>86209</v>
      </c>
      <c r="E14" s="15" t="n">
        <v>4</v>
      </c>
      <c r="F14" s="15" t="n">
        <v>4</v>
      </c>
      <c r="G14" s="15" t="n">
        <v>1</v>
      </c>
      <c r="H14" s="15" t="n">
        <v>12</v>
      </c>
      <c r="I14" s="15" t="n">
        <v>4</v>
      </c>
      <c r="J14" s="15" t="n">
        <v>1</v>
      </c>
      <c r="K14" s="20" t="s">
        <v>56</v>
      </c>
      <c r="L14" s="20" t="s">
        <v>103</v>
      </c>
      <c r="M14" s="20" t="s">
        <v>104</v>
      </c>
    </row>
    <row r="15" customFormat="false" ht="97" hidden="false" customHeight="false" outlineLevel="0" collapsed="false">
      <c r="A15" s="20" t="s">
        <v>96</v>
      </c>
      <c r="B15" s="20" t="s">
        <v>105</v>
      </c>
      <c r="C15" s="20" t="s">
        <v>106</v>
      </c>
      <c r="D15" s="21" t="n">
        <v>144916</v>
      </c>
      <c r="E15" s="15" t="n">
        <v>5</v>
      </c>
      <c r="F15" s="15" t="n">
        <v>4</v>
      </c>
      <c r="G15" s="15" t="n">
        <v>3</v>
      </c>
      <c r="H15" s="15" t="n">
        <v>12</v>
      </c>
      <c r="I15" s="15" t="n">
        <v>1</v>
      </c>
      <c r="J15" s="15" t="n">
        <v>4</v>
      </c>
      <c r="K15" s="20" t="s">
        <v>83</v>
      </c>
      <c r="L15" s="20" t="s">
        <v>107</v>
      </c>
      <c r="M15" s="20" t="s">
        <v>108</v>
      </c>
    </row>
    <row r="16" customFormat="false" ht="108.95" hidden="false" customHeight="false" outlineLevel="0" collapsed="false">
      <c r="A16" s="20" t="s">
        <v>96</v>
      </c>
      <c r="B16" s="20" t="s">
        <v>109</v>
      </c>
      <c r="C16" s="20" t="s">
        <v>110</v>
      </c>
      <c r="D16" s="21" t="n">
        <v>26200</v>
      </c>
      <c r="E16" s="15" t="n">
        <v>3</v>
      </c>
      <c r="F16" s="15" t="n">
        <v>1</v>
      </c>
      <c r="G16" s="15" t="n">
        <v>12</v>
      </c>
      <c r="H16" s="15" t="n">
        <v>12</v>
      </c>
      <c r="I16" s="15" t="n">
        <v>3</v>
      </c>
      <c r="J16" s="15" t="n">
        <v>1</v>
      </c>
      <c r="K16" s="20" t="s">
        <v>56</v>
      </c>
      <c r="L16" s="20" t="s">
        <v>111</v>
      </c>
      <c r="M16" s="20" t="s">
        <v>112</v>
      </c>
    </row>
    <row r="17" customFormat="false" ht="132.8" hidden="false" customHeight="false" outlineLevel="0" collapsed="false">
      <c r="A17" s="20" t="s">
        <v>113</v>
      </c>
      <c r="B17" s="20" t="s">
        <v>114</v>
      </c>
      <c r="C17" s="20" t="s">
        <v>115</v>
      </c>
      <c r="D17" s="21" t="n">
        <v>455424</v>
      </c>
      <c r="E17" s="15" t="n">
        <v>4</v>
      </c>
      <c r="F17" s="15" t="n">
        <v>2</v>
      </c>
      <c r="G17" s="15" t="n">
        <v>8</v>
      </c>
      <c r="H17" s="15" t="n">
        <v>60</v>
      </c>
      <c r="I17" s="15" t="n">
        <v>4</v>
      </c>
      <c r="J17" s="15" t="n">
        <v>1</v>
      </c>
      <c r="K17" s="20" t="s">
        <v>56</v>
      </c>
      <c r="L17" s="20" t="s">
        <v>116</v>
      </c>
      <c r="M17" s="20" t="s">
        <v>117</v>
      </c>
    </row>
    <row r="18" customFormat="false" ht="156.7" hidden="false" customHeight="false" outlineLevel="0" collapsed="false">
      <c r="A18" s="20" t="s">
        <v>113</v>
      </c>
      <c r="B18" s="20" t="s">
        <v>118</v>
      </c>
      <c r="C18" s="20" t="s">
        <v>119</v>
      </c>
      <c r="D18" s="21" t="n">
        <v>280177</v>
      </c>
      <c r="E18" s="15" t="n">
        <v>4</v>
      </c>
      <c r="F18" s="15" t="n">
        <v>1</v>
      </c>
      <c r="G18" s="15" t="n">
        <v>12</v>
      </c>
      <c r="H18" s="15" t="n">
        <v>60</v>
      </c>
      <c r="I18" s="15" t="n">
        <v>5</v>
      </c>
      <c r="J18" s="15" t="n">
        <v>1</v>
      </c>
      <c r="K18" s="20" t="s">
        <v>56</v>
      </c>
      <c r="L18" s="20" t="s">
        <v>120</v>
      </c>
      <c r="M18" s="2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11" min="3" style="0" width="12"/>
  </cols>
  <sheetData>
    <row r="1" customFormat="false" ht="171.6" hidden="false" customHeight="false" outlineLevel="0" collapsed="false">
      <c r="A1" s="4" t="s">
        <v>122</v>
      </c>
    </row>
    <row r="2" customFormat="false" ht="85.05" hidden="false" customHeight="false" outlineLevel="0" collapsed="false">
      <c r="A2" s="5" t="s">
        <v>123</v>
      </c>
    </row>
    <row r="3" customFormat="false" ht="34.5" hidden="false" customHeight="true" outlineLevel="0" collapsed="false">
      <c r="A3" s="6" t="s">
        <v>40</v>
      </c>
      <c r="B3" s="6" t="s">
        <v>41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6" t="s">
        <v>130</v>
      </c>
      <c r="J3" s="6" t="s">
        <v>131</v>
      </c>
      <c r="K3" s="6" t="s">
        <v>132</v>
      </c>
    </row>
    <row r="4" customFormat="false" ht="15" hidden="false" customHeight="false" outlineLevel="0" collapsed="false">
      <c r="A4" s="17" t="s">
        <v>133</v>
      </c>
      <c r="B4" s="22"/>
      <c r="C4" s="23" t="n">
        <f aca="false">Критерии!$J$4</f>
        <v>0.213144357747685</v>
      </c>
      <c r="D4" s="23" t="n">
        <f aca="false">Критерии!$J$5</f>
        <v>0.149453156278252</v>
      </c>
      <c r="E4" s="23" t="n">
        <f aca="false">Критерии!$J$6</f>
        <v>0.222086536722974</v>
      </c>
      <c r="F4" s="23" t="n">
        <f aca="false">Критерии!$J$7</f>
        <v>0.0949143890822466</v>
      </c>
      <c r="G4" s="23" t="n">
        <f aca="false">Критерии!$J$8</f>
        <v>0.0536842924937328</v>
      </c>
      <c r="H4" s="23" t="n">
        <f aca="false">Критерии!$J$9</f>
        <v>0.182185438167144</v>
      </c>
      <c r="I4" s="23" t="n">
        <f aca="false">Критерии!$J$10</f>
        <v>0.084531829507966</v>
      </c>
    </row>
    <row r="5" customFormat="false" ht="15" hidden="false" customHeight="false" outlineLevel="0" collapsed="false">
      <c r="A5" s="20" t="s">
        <v>53</v>
      </c>
      <c r="B5" s="20" t="s">
        <v>54</v>
      </c>
      <c r="C5" s="12" t="n">
        <v>0.0773</v>
      </c>
      <c r="D5" s="12" t="n">
        <v>0.375</v>
      </c>
      <c r="E5" s="12" t="n">
        <v>0.1681</v>
      </c>
      <c r="F5" s="12" t="n">
        <v>0.3214</v>
      </c>
      <c r="G5" s="12" t="n">
        <v>0.0769</v>
      </c>
      <c r="H5" s="12" t="n">
        <v>0.0506</v>
      </c>
      <c r="I5" s="12" t="n">
        <v>0.0674</v>
      </c>
      <c r="J5" s="11" t="n">
        <f aca="false">C5*C$4+D5*D$4+E5*E$4+F5*F$4+G5*G$4+H5*H$4+I5*I$4</f>
        <v>0.159403574505269</v>
      </c>
      <c r="K5" s="8" t="n">
        <f aca="false">COUNTIFS($A$5:$A$19,A5,$J$5:$J$19,"&gt;"&amp;J5)+1</f>
        <v>4</v>
      </c>
    </row>
    <row r="6" customFormat="false" ht="15" hidden="false" customHeight="false" outlineLevel="0" collapsed="false">
      <c r="A6" s="20" t="s">
        <v>53</v>
      </c>
      <c r="B6" s="20" t="s">
        <v>59</v>
      </c>
      <c r="C6" s="12" t="n">
        <v>0.282</v>
      </c>
      <c r="D6" s="12" t="n">
        <v>0.375</v>
      </c>
      <c r="E6" s="12" t="n">
        <v>0.0364</v>
      </c>
      <c r="F6" s="12" t="n">
        <v>0.0357</v>
      </c>
      <c r="G6" s="12" t="n">
        <v>0.3077</v>
      </c>
      <c r="H6" s="12" t="n">
        <v>0.1044</v>
      </c>
      <c r="I6" s="12" t="n">
        <v>0.0674</v>
      </c>
      <c r="J6" s="11" t="n">
        <f aca="false">C6*C$4+D6*D$4+E6*E$4+F6*F$4+G6*G$4+H6*H$4+I6*I$4</f>
        <v>0.168860297969952</v>
      </c>
      <c r="K6" s="8" t="n">
        <f aca="false">COUNTIFS($A$5:$A$19,A6,$J$5:$J$19,"&gt;"&amp;J6)+1</f>
        <v>3</v>
      </c>
    </row>
    <row r="7" customFormat="false" ht="15" hidden="false" customHeight="false" outlineLevel="0" collapsed="false">
      <c r="A7" s="20" t="s">
        <v>53</v>
      </c>
      <c r="B7" s="20" t="s">
        <v>63</v>
      </c>
      <c r="C7" s="12" t="n">
        <v>0.2643</v>
      </c>
      <c r="D7" s="12" t="n">
        <v>0.125</v>
      </c>
      <c r="E7" s="12" t="n">
        <v>0.3977</v>
      </c>
      <c r="F7" s="12" t="n">
        <v>0.3214</v>
      </c>
      <c r="G7" s="12" t="n">
        <v>0.3077</v>
      </c>
      <c r="H7" s="12" t="n">
        <v>0.4225</v>
      </c>
      <c r="I7" s="12" t="n">
        <v>0.2825</v>
      </c>
      <c r="J7" s="11" t="n">
        <f aca="false">C7*C$4+D7*D$4+E7*E$4+F7*F$4+G7*G$4+H7*H$4+I7*I$4</f>
        <v>0.311217244855196</v>
      </c>
      <c r="K7" s="8" t="n">
        <f aca="false">COUNTIFS($A$5:$A$19,A7,$J$5:$J$19,"&gt;"&amp;J7)+1</f>
        <v>2</v>
      </c>
    </row>
    <row r="8" customFormat="false" ht="15" hidden="false" customHeight="false" outlineLevel="0" collapsed="false">
      <c r="A8" s="20" t="s">
        <v>53</v>
      </c>
      <c r="B8" s="20" t="s">
        <v>68</v>
      </c>
      <c r="C8" s="12" t="n">
        <v>0.3764</v>
      </c>
      <c r="D8" s="12" t="n">
        <v>0.125</v>
      </c>
      <c r="E8" s="12" t="n">
        <v>0.3977</v>
      </c>
      <c r="F8" s="12" t="n">
        <v>0.3214</v>
      </c>
      <c r="G8" s="12" t="n">
        <v>0.3077</v>
      </c>
      <c r="H8" s="12" t="n">
        <v>0.4225</v>
      </c>
      <c r="I8" s="12" t="n">
        <v>0.5827</v>
      </c>
      <c r="J8" s="11" t="n">
        <f aca="false">C8*C$4+D8*D$4+E8*E$4+F8*F$4+G8*G$4+H8*H$4+I8*I$4</f>
        <v>0.360487182577003</v>
      </c>
      <c r="K8" s="8" t="n">
        <f aca="false">COUNTIFS($A$5:$A$19,A8,$J$5:$J$19,"&gt;"&amp;J8)+1</f>
        <v>1</v>
      </c>
    </row>
    <row r="9" customFormat="false" ht="15" hidden="false" customHeight="false" outlineLevel="0" collapsed="false">
      <c r="A9" s="20" t="s">
        <v>72</v>
      </c>
      <c r="B9" s="20" t="s">
        <v>73</v>
      </c>
      <c r="C9" s="12" t="n">
        <v>0.3037</v>
      </c>
      <c r="D9" s="12" t="n">
        <v>0.637</v>
      </c>
      <c r="E9" s="12" t="n">
        <v>0.2</v>
      </c>
      <c r="F9" s="12" t="n">
        <v>0.1818</v>
      </c>
      <c r="G9" s="12" t="n">
        <v>0.5</v>
      </c>
      <c r="H9" s="12" t="n">
        <v>0.3333</v>
      </c>
      <c r="I9" s="12" t="n">
        <v>0.3333</v>
      </c>
      <c r="J9" s="11" t="n">
        <f aca="false">C9*C$4+D9*D$4+E9*E$4+F9*F$4+G9*G$4+H9*H$4+I9*I$4</f>
        <v>0.337345356839946</v>
      </c>
      <c r="K9" s="8" t="n">
        <f aca="false">COUNTIFS($A$5:$A$19,A9,$J$5:$J$19,"&gt;"&amp;J9)+1</f>
        <v>2</v>
      </c>
    </row>
    <row r="10" customFormat="false" ht="15" hidden="false" customHeight="false" outlineLevel="0" collapsed="false">
      <c r="A10" s="20" t="s">
        <v>72</v>
      </c>
      <c r="B10" s="20" t="s">
        <v>77</v>
      </c>
      <c r="C10" s="12" t="n">
        <v>0.4893</v>
      </c>
      <c r="D10" s="12" t="n">
        <v>0.1047</v>
      </c>
      <c r="E10" s="12" t="n">
        <v>0.6</v>
      </c>
      <c r="F10" s="12" t="n">
        <v>0.5455</v>
      </c>
      <c r="G10" s="12" t="n">
        <v>0.25</v>
      </c>
      <c r="H10" s="12" t="n">
        <v>0.3333</v>
      </c>
      <c r="I10" s="12" t="n">
        <v>0.3333</v>
      </c>
      <c r="J10" s="11" t="n">
        <f aca="false">C10*C$4+D10*D$4+E10*E$4+F10*F$4+G10*G$4+H10*H$4+I10*I$4</f>
        <v>0.407284939425972</v>
      </c>
      <c r="K10" s="8" t="n">
        <f aca="false">COUNTIFS($A$5:$A$19,A10,$J$5:$J$19,"&gt;"&amp;J10)+1</f>
        <v>1</v>
      </c>
    </row>
    <row r="11" customFormat="false" ht="15" hidden="false" customHeight="false" outlineLevel="0" collapsed="false">
      <c r="A11" s="20" t="s">
        <v>72</v>
      </c>
      <c r="B11" s="20" t="s">
        <v>81</v>
      </c>
      <c r="C11" s="12" t="n">
        <v>0.207</v>
      </c>
      <c r="D11" s="12" t="n">
        <v>0.2583</v>
      </c>
      <c r="E11" s="12" t="n">
        <v>0.2</v>
      </c>
      <c r="F11" s="12" t="n">
        <v>0.2727</v>
      </c>
      <c r="G11" s="12" t="n">
        <v>0.25</v>
      </c>
      <c r="H11" s="12" t="n">
        <v>0.3333</v>
      </c>
      <c r="I11" s="12" t="n">
        <v>0.3333</v>
      </c>
      <c r="J11" s="11" t="n">
        <f aca="false">C11*C$4+D11*D$4+E11*E$4+F11*F$4+G11*G$4+H11*H$4+I11*I$4</f>
        <v>0.255343032007314</v>
      </c>
      <c r="K11" s="8" t="n">
        <f aca="false">COUNTIFS($A$5:$A$19,A11,$J$5:$J$19,"&gt;"&amp;J11)+1</f>
        <v>3</v>
      </c>
    </row>
    <row r="12" customFormat="false" ht="15" hidden="false" customHeight="false" outlineLevel="0" collapsed="false">
      <c r="A12" s="20" t="s">
        <v>86</v>
      </c>
      <c r="B12" s="20" t="s">
        <v>87</v>
      </c>
      <c r="C12" s="12" t="n">
        <v>0.5064</v>
      </c>
      <c r="D12" s="12" t="n">
        <v>0.5</v>
      </c>
      <c r="E12" s="12" t="n">
        <v>0.8333</v>
      </c>
      <c r="F12" s="12" t="n">
        <v>0.6667</v>
      </c>
      <c r="G12" s="12" t="n">
        <v>0.5</v>
      </c>
      <c r="H12" s="12" t="n">
        <v>0.75</v>
      </c>
      <c r="I12" s="12" t="n">
        <v>0.5</v>
      </c>
      <c r="J12" s="11" t="n">
        <f aca="false">C12*C$4+D12*D$4+E12*E$4+F12*F$4+G12*G$4+H12*H$4+I12*I$4</f>
        <v>0.636754154781149</v>
      </c>
      <c r="K12" s="8" t="n">
        <f aca="false">COUNTIFS($A$5:$A$19,A12,$J$5:$J$19,"&gt;"&amp;J12)+1</f>
        <v>1</v>
      </c>
    </row>
    <row r="13" customFormat="false" ht="15" hidden="false" customHeight="false" outlineLevel="0" collapsed="false">
      <c r="A13" s="20" t="s">
        <v>86</v>
      </c>
      <c r="B13" s="20" t="s">
        <v>91</v>
      </c>
      <c r="C13" s="12" t="n">
        <v>0.4936</v>
      </c>
      <c r="D13" s="12" t="n">
        <v>0.5</v>
      </c>
      <c r="E13" s="12" t="n">
        <v>0.1667</v>
      </c>
      <c r="F13" s="12" t="n">
        <v>0.3333</v>
      </c>
      <c r="G13" s="12" t="n">
        <v>0.5</v>
      </c>
      <c r="H13" s="12" t="n">
        <v>0.25</v>
      </c>
      <c r="I13" s="12" t="n">
        <v>0.5</v>
      </c>
      <c r="J13" s="11" t="n">
        <f aca="false">C13*C$4+D13*D$4+E13*E$4+F13*F$4+G13*G$4+H13*H$4+I13*I$4</f>
        <v>0.363245845218851</v>
      </c>
      <c r="K13" s="8" t="n">
        <f aca="false">COUNTIFS($A$5:$A$19,A13,$J$5:$J$19,"&gt;"&amp;J13)+1</f>
        <v>2</v>
      </c>
    </row>
    <row r="14" customFormat="false" ht="15" hidden="false" customHeight="false" outlineLevel="0" collapsed="false">
      <c r="A14" s="20" t="s">
        <v>96</v>
      </c>
      <c r="B14" s="20" t="s">
        <v>97</v>
      </c>
      <c r="C14" s="12" t="n">
        <v>0.1163</v>
      </c>
      <c r="D14" s="12" t="n">
        <v>0.3899</v>
      </c>
      <c r="E14" s="12" t="n">
        <v>0.3182</v>
      </c>
      <c r="F14" s="12" t="n">
        <v>0.406</v>
      </c>
      <c r="G14" s="12" t="n">
        <v>0.25</v>
      </c>
      <c r="H14" s="12" t="n">
        <v>0.076</v>
      </c>
      <c r="I14" s="12" t="n">
        <v>0.1</v>
      </c>
      <c r="J14" s="11" t="n">
        <f aca="false">C14*C$4+D14*D$4+E14*E$4+F14*F$4+G14*G$4+H14*H$4+I14*I$4</f>
        <v>0.227984001766521</v>
      </c>
      <c r="K14" s="8" t="n">
        <f aca="false">COUNTIFS($A$5:$A$19,A14,$J$5:$J$19,"&gt;"&amp;J14)+1</f>
        <v>2</v>
      </c>
    </row>
    <row r="15" customFormat="false" ht="15" hidden="false" customHeight="false" outlineLevel="0" collapsed="false">
      <c r="A15" s="20" t="s">
        <v>96</v>
      </c>
      <c r="B15" s="20" t="s">
        <v>101</v>
      </c>
      <c r="C15" s="12" t="n">
        <v>0.1809</v>
      </c>
      <c r="D15" s="12" t="n">
        <v>0.1524</v>
      </c>
      <c r="E15" s="12" t="n">
        <v>0.3182</v>
      </c>
      <c r="F15" s="12" t="n">
        <v>0.406</v>
      </c>
      <c r="G15" s="12" t="n">
        <v>0.25</v>
      </c>
      <c r="H15" s="12" t="n">
        <v>0.076</v>
      </c>
      <c r="I15" s="12" t="n">
        <v>0.1</v>
      </c>
      <c r="J15" s="11" t="n">
        <f aca="false">C15*C$4+D15*D$4+E15*E$4+F15*F$4+G15*G$4+H15*H$4+I15*I$4</f>
        <v>0.206258002660937</v>
      </c>
      <c r="K15" s="8" t="n">
        <f aca="false">COUNTIFS($A$5:$A$19,A15,$J$5:$J$19,"&gt;"&amp;J15)+1</f>
        <v>4</v>
      </c>
    </row>
    <row r="16" customFormat="false" ht="15" hidden="false" customHeight="false" outlineLevel="0" collapsed="false">
      <c r="A16" s="20" t="s">
        <v>96</v>
      </c>
      <c r="B16" s="20" t="s">
        <v>105</v>
      </c>
      <c r="C16" s="12" t="n">
        <v>0.1076</v>
      </c>
      <c r="D16" s="12" t="n">
        <v>0.3899</v>
      </c>
      <c r="E16" s="12" t="n">
        <v>0.3182</v>
      </c>
      <c r="F16" s="12" t="n">
        <v>0.1458</v>
      </c>
      <c r="G16" s="12" t="n">
        <v>0.25</v>
      </c>
      <c r="H16" s="12" t="n">
        <v>0.657</v>
      </c>
      <c r="I16" s="12" t="n">
        <v>0.7</v>
      </c>
      <c r="J16" s="11" t="n">
        <f aca="false">C16*C$4+D16*D$4+E16*E$4+F16*F$4+G16*G$4+H16*H$4+I16*I$4</f>
        <v>0.358001759094806</v>
      </c>
      <c r="K16" s="8" t="n">
        <f aca="false">COUNTIFS($A$5:$A$19,A16,$J$5:$J$19,"&gt;"&amp;J16)+1</f>
        <v>1</v>
      </c>
    </row>
    <row r="17" customFormat="false" ht="15" hidden="false" customHeight="false" outlineLevel="0" collapsed="false">
      <c r="A17" s="20" t="s">
        <v>96</v>
      </c>
      <c r="B17" s="20" t="s">
        <v>109</v>
      </c>
      <c r="C17" s="12" t="n">
        <v>0.5952</v>
      </c>
      <c r="D17" s="12" t="n">
        <v>0.0679</v>
      </c>
      <c r="E17" s="12" t="n">
        <v>0.0455</v>
      </c>
      <c r="F17" s="12" t="n">
        <v>0.0421</v>
      </c>
      <c r="G17" s="12" t="n">
        <v>0.25</v>
      </c>
      <c r="H17" s="12" t="n">
        <v>0.1911</v>
      </c>
      <c r="I17" s="12" t="n">
        <v>0.1</v>
      </c>
      <c r="J17" s="11" t="n">
        <f aca="false">C17*C$4+D17*D$4+E17*E$4+F17*F$4+G17*G$4+H17*H$4+I17*I$4</f>
        <v>0.207802117551944</v>
      </c>
      <c r="K17" s="8" t="n">
        <f aca="false">COUNTIFS($A$5:$A$19,A17,$J$5:$J$19,"&gt;"&amp;J17)+1</f>
        <v>3</v>
      </c>
    </row>
    <row r="18" customFormat="false" ht="15" hidden="false" customHeight="false" outlineLevel="0" collapsed="false">
      <c r="A18" s="20" t="s">
        <v>113</v>
      </c>
      <c r="B18" s="20" t="s">
        <v>114</v>
      </c>
      <c r="C18" s="12" t="n">
        <v>0.3809</v>
      </c>
      <c r="D18" s="12" t="n">
        <v>0.5</v>
      </c>
      <c r="E18" s="12" t="n">
        <v>0.75</v>
      </c>
      <c r="F18" s="12" t="n">
        <v>0.6</v>
      </c>
      <c r="G18" s="12" t="n">
        <v>0.5</v>
      </c>
      <c r="H18" s="12" t="n">
        <v>0.75</v>
      </c>
      <c r="I18" s="12" t="n">
        <v>0.5</v>
      </c>
      <c r="J18" s="11" t="n">
        <f aca="false">C18*C$4+D18*D$4+E18*E$4+F18*F$4+G18*G$4+H18*H$4+I18*I$4</f>
        <v>0.585173939623005</v>
      </c>
      <c r="K18" s="8" t="n">
        <f aca="false">COUNTIFS($A$5:$A$19,A18,$J$5:$J$19,"&gt;"&amp;J18)+1</f>
        <v>1</v>
      </c>
    </row>
    <row r="19" customFormat="false" ht="15" hidden="false" customHeight="false" outlineLevel="0" collapsed="false">
      <c r="A19" s="20" t="s">
        <v>113</v>
      </c>
      <c r="B19" s="20" t="s">
        <v>118</v>
      </c>
      <c r="C19" s="12" t="n">
        <v>0.6191</v>
      </c>
      <c r="D19" s="12" t="n">
        <v>0.5</v>
      </c>
      <c r="E19" s="12" t="n">
        <v>0.25</v>
      </c>
      <c r="F19" s="12" t="n">
        <v>0.4</v>
      </c>
      <c r="G19" s="12" t="n">
        <v>0.5</v>
      </c>
      <c r="H19" s="12" t="n">
        <v>0.25</v>
      </c>
      <c r="I19" s="12" t="n">
        <v>0.5</v>
      </c>
      <c r="J19" s="11" t="n">
        <f aca="false">C19*C$4+D19*D$4+E19*E$4+F19*F$4+G19*G$4+H19*H$4+I19*I$4</f>
        <v>0.414826060376995</v>
      </c>
      <c r="K19" s="8" t="n">
        <f aca="false">COUNTIFS($A$5:$A$19,A19,$J$5:$J$19,"&gt;"&amp;J19)+1</f>
        <v>2</v>
      </c>
    </row>
  </sheetData>
  <conditionalFormatting sqref="A5:K19">
    <cfRule type="expression" priority="2" aboveAverage="0" equalAverage="0" bottom="0" percent="0" rank="0" text="" dxfId="0">
      <formula>$K5=1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10" min="3" style="0" width="11"/>
  </cols>
  <sheetData>
    <row r="1" customFormat="false" ht="129.1" hidden="false" customHeight="false" outlineLevel="0" collapsed="false">
      <c r="A1" s="4" t="s">
        <v>134</v>
      </c>
    </row>
    <row r="2" customFormat="false" ht="61.15" hidden="false" customHeight="false" outlineLevel="0" collapsed="false">
      <c r="A2" s="5" t="s">
        <v>135</v>
      </c>
    </row>
    <row r="4" customFormat="false" ht="15" hidden="false" customHeight="false" outlineLevel="0" collapsed="false">
      <c r="A4" s="6" t="s">
        <v>41</v>
      </c>
      <c r="B4" s="6" t="s">
        <v>136</v>
      </c>
      <c r="C4" s="6" t="s">
        <v>54</v>
      </c>
      <c r="D4" s="6" t="s">
        <v>59</v>
      </c>
      <c r="E4" s="6" t="s">
        <v>63</v>
      </c>
      <c r="F4" s="6" t="s">
        <v>68</v>
      </c>
      <c r="G4" s="6" t="s">
        <v>137</v>
      </c>
      <c r="H4" s="6" t="s">
        <v>138</v>
      </c>
      <c r="I4" s="6" t="s">
        <v>23</v>
      </c>
      <c r="J4" s="6" t="s">
        <v>139</v>
      </c>
    </row>
    <row r="5" customFormat="false" ht="15" hidden="false" customHeight="false" outlineLevel="0" collapsed="false">
      <c r="A5" s="7" t="s">
        <v>54</v>
      </c>
      <c r="B5" s="24" t="n">
        <f aca="false">Данные!D4</f>
        <v>389565</v>
      </c>
      <c r="C5" s="13" t="n">
        <f aca="false">MIN(9,MAX(1/9,$B$5/$B5))</f>
        <v>1</v>
      </c>
      <c r="D5" s="13" t="n">
        <f aca="false">MIN(9,MAX(1/9,$B$6/$B5))</f>
        <v>0.273956849306278</v>
      </c>
      <c r="E5" s="13" t="n">
        <f aca="false">MIN(9,MAX(1/9,$B$7/$B5))</f>
        <v>0.292233645219668</v>
      </c>
      <c r="F5" s="13" t="n">
        <f aca="false">MIN(9,MAX(1/9,$B$8/$B5))</f>
        <v>0.205228909167918</v>
      </c>
      <c r="G5" s="10" t="n">
        <f aca="false">PRODUCT(C5:F5)^(1/4)</f>
        <v>0.358024485040535</v>
      </c>
      <c r="H5" s="11" t="n">
        <f aca="false">G5/SUM($G$5:$G$8)</f>
        <v>0.0772514715269748</v>
      </c>
      <c r="I5" s="10" t="n">
        <f aca="false">C5*$H$5+D5*$H$6+E5*$H$7+F5*$H$8</f>
        <v>0.309005886107899</v>
      </c>
      <c r="J5" s="10" t="n">
        <f aca="false">I5/H5</f>
        <v>4</v>
      </c>
    </row>
    <row r="6" customFormat="false" ht="15" hidden="false" customHeight="false" outlineLevel="0" collapsed="false">
      <c r="A6" s="7" t="s">
        <v>59</v>
      </c>
      <c r="B6" s="24" t="n">
        <f aca="false">Данные!D5</f>
        <v>106724</v>
      </c>
      <c r="C6" s="13" t="n">
        <f aca="false">MIN(9,MAX(1/9,$B$5/$B6))</f>
        <v>3.65020988718564</v>
      </c>
      <c r="D6" s="13" t="n">
        <f aca="false">MIN(9,MAX(1/9,$B$6/$B6))</f>
        <v>1</v>
      </c>
      <c r="E6" s="13" t="n">
        <f aca="false">MIN(9,MAX(1/9,$B$7/$B6))</f>
        <v>1.06671414114913</v>
      </c>
      <c r="F6" s="13" t="n">
        <f aca="false">MIN(9,MAX(1/9,$B$8/$B6))</f>
        <v>0.749128593381058</v>
      </c>
      <c r="G6" s="10" t="n">
        <f aca="false">PRODUCT(C6:F6)^(1/4)</f>
        <v>1.30686451514951</v>
      </c>
      <c r="H6" s="11" t="n">
        <f aca="false">G6/SUM($G$5:$G$8)</f>
        <v>0.281984085167403</v>
      </c>
      <c r="I6" s="10" t="n">
        <f aca="false">C6*$H$5+D6*$H$6+E6*$H$7+F6*$H$8</f>
        <v>1.12793634066961</v>
      </c>
      <c r="J6" s="10" t="n">
        <f aca="false">I6/H6</f>
        <v>4</v>
      </c>
    </row>
    <row r="7" customFormat="false" ht="15" hidden="false" customHeight="false" outlineLevel="0" collapsed="false">
      <c r="A7" s="7" t="s">
        <v>63</v>
      </c>
      <c r="B7" s="24" t="n">
        <f aca="false">Данные!D6</f>
        <v>113844</v>
      </c>
      <c r="C7" s="13" t="n">
        <f aca="false">MIN(9,MAX(1/9,$B$5/$B7))</f>
        <v>3.42191946874671</v>
      </c>
      <c r="D7" s="13" t="n">
        <f aca="false">MIN(9,MAX(1/9,$B$6/$B7))</f>
        <v>0.937458276237659</v>
      </c>
      <c r="E7" s="13" t="n">
        <f aca="false">MIN(9,MAX(1/9,$B$7/$B7))</f>
        <v>1</v>
      </c>
      <c r="F7" s="13" t="n">
        <f aca="false">MIN(9,MAX(1/9,$B$8/$B7))</f>
        <v>0.702276799831348</v>
      </c>
      <c r="G7" s="10" t="n">
        <f aca="false">PRODUCT(C7:F7)^(1/4)</f>
        <v>1.22513095564822</v>
      </c>
      <c r="H7" s="11" t="n">
        <f aca="false">G7/SUM($G$5:$G$8)</f>
        <v>0.264348314407487</v>
      </c>
      <c r="I7" s="10" t="n">
        <f aca="false">C7*$H$5+D7*$H$6+E7*$H$7+F7*$H$8</f>
        <v>1.05739325762995</v>
      </c>
      <c r="J7" s="10" t="n">
        <f aca="false">I7/H7</f>
        <v>4</v>
      </c>
    </row>
    <row r="8" customFormat="false" ht="15" hidden="false" customHeight="false" outlineLevel="0" collapsed="false">
      <c r="A8" s="7" t="s">
        <v>68</v>
      </c>
      <c r="B8" s="24" t="n">
        <f aca="false">Данные!D7</f>
        <v>79950</v>
      </c>
      <c r="C8" s="13" t="n">
        <f aca="false">MIN(9,MAX(1/9,$B$5/$B8))</f>
        <v>4.87260787992495</v>
      </c>
      <c r="D8" s="13" t="n">
        <f aca="false">MIN(9,MAX(1/9,$B$6/$B8))</f>
        <v>1.33488430268918</v>
      </c>
      <c r="E8" s="13" t="n">
        <f aca="false">MIN(9,MAX(1/9,$B$7/$B8))</f>
        <v>1.42393996247655</v>
      </c>
      <c r="F8" s="13" t="n">
        <f aca="false">MIN(9,MAX(1/9,$B$8/$B8))</f>
        <v>1</v>
      </c>
      <c r="G8" s="10" t="n">
        <f aca="false">PRODUCT(C8:F8)^(1/4)</f>
        <v>1.74451292701459</v>
      </c>
      <c r="H8" s="11" t="n">
        <f aca="false">G8/SUM($G$5:$G$8)</f>
        <v>0.376416128898135</v>
      </c>
      <c r="I8" s="10" t="n">
        <f aca="false">C8*$H$5+D8*$H$6+E8*$H$7+F8*$H$8</f>
        <v>1.50566451559254</v>
      </c>
      <c r="J8" s="10" t="n">
        <f aca="false">I8/H8</f>
        <v>4</v>
      </c>
    </row>
    <row r="10" customFormat="false" ht="15" hidden="false" customHeight="false" outlineLevel="0" collapsed="false">
      <c r="A10" s="17" t="s">
        <v>140</v>
      </c>
      <c r="B10" s="10" t="n">
        <f aca="false">AVERAGE(J5:J8)</f>
        <v>4</v>
      </c>
    </row>
    <row r="11" customFormat="false" ht="15" hidden="false" customHeight="false" outlineLevel="0" collapsed="false">
      <c r="A11" s="17" t="s">
        <v>141</v>
      </c>
      <c r="B11" s="10" t="n">
        <f aca="false">(B10-4)/(4-1)</f>
        <v>0</v>
      </c>
    </row>
    <row r="12" customFormat="false" ht="15" hidden="false" customHeight="false" outlineLevel="0" collapsed="false">
      <c r="A12" s="17" t="s">
        <v>142</v>
      </c>
      <c r="B12" s="16" t="n">
        <v>0.9</v>
      </c>
    </row>
    <row r="13" customFormat="false" ht="15" hidden="false" customHeight="false" outlineLevel="0" collapsed="false">
      <c r="A13" s="17" t="s">
        <v>143</v>
      </c>
      <c r="B13" s="10" t="n">
        <f aca="false">IF(B12=0,0,B11/B12)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2026-10-13T07:24:31Z</dcterms:created>
  <dc:creator>openpyxl</dc:creator>
  <dc:description/>
  <dc:language>ru-RU</dc:language>
  <cp:lastModifiedBy/>
  <dcterms:modified xsi:type="dcterms:W3CDTF">2026-10-13T07:24:31Z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